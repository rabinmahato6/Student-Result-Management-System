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important pdf\All RESUME\Resume Project\Excel-Projects-Portfolio\"/>
    </mc:Choice>
  </mc:AlternateContent>
  <xr:revisionPtr revIDLastSave="0" documentId="13_ncr:1_{D8AB15A0-6AD9-40C5-92B1-F0880FE864CC}" xr6:coauthVersionLast="47" xr6:coauthVersionMax="47" xr10:uidLastSave="{00000000-0000-0000-0000-000000000000}"/>
  <bookViews>
    <workbookView xWindow="-108" yWindow="-108" windowWidth="23256" windowHeight="12456" activeTab="4" xr2:uid="{0A6344B4-233C-4CED-9E5A-09B4CA9D09D7}"/>
  </bookViews>
  <sheets>
    <sheet name="Student_data" sheetId="1" r:id="rId1"/>
    <sheet name="Marks" sheetId="2" r:id="rId2"/>
    <sheet name="Result" sheetId="3" r:id="rId3"/>
    <sheet name="pivot data" sheetId="4" r:id="rId4"/>
    <sheet name="dashboard" sheetId="5" r:id="rId5"/>
  </sheets>
  <definedNames>
    <definedName name="Slicer_Class">#N/A</definedName>
    <definedName name="Slicer_Section">#N/A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5" i="3" l="1"/>
  <c r="B83" i="4"/>
  <c r="C36" i="3"/>
  <c r="C37" i="3"/>
  <c r="C38" i="3"/>
  <c r="C39" i="3"/>
  <c r="I3" i="3"/>
  <c r="I4" i="3"/>
  <c r="I5" i="3"/>
  <c r="I6" i="3"/>
  <c r="I7" i="3"/>
  <c r="I8" i="3"/>
  <c r="I9" i="3"/>
  <c r="J9" i="3" s="1"/>
  <c r="I10" i="3"/>
  <c r="I11" i="3"/>
  <c r="I12" i="3"/>
  <c r="I13" i="3"/>
  <c r="I14" i="3"/>
  <c r="K14" i="3" s="1"/>
  <c r="I15" i="3"/>
  <c r="K15" i="3" s="1"/>
  <c r="I16" i="3"/>
  <c r="I17" i="3"/>
  <c r="I18" i="3"/>
  <c r="K18" i="3" s="1"/>
  <c r="I19" i="3"/>
  <c r="I20" i="3"/>
  <c r="I21" i="3"/>
  <c r="J21" i="3" s="1"/>
  <c r="I22" i="3"/>
  <c r="K22" i="3" s="1"/>
  <c r="I23" i="3"/>
  <c r="I24" i="3"/>
  <c r="I25" i="3"/>
  <c r="I26" i="3"/>
  <c r="J26" i="3" s="1"/>
  <c r="I27" i="3"/>
  <c r="J27" i="3" s="1"/>
  <c r="I28" i="3"/>
  <c r="I29" i="3"/>
  <c r="I30" i="3"/>
  <c r="I31" i="3"/>
  <c r="I32" i="3"/>
  <c r="L32" i="3" s="1"/>
  <c r="H26" i="3"/>
  <c r="H15" i="3"/>
  <c r="H14" i="3"/>
  <c r="L20" i="3" l="1"/>
  <c r="L19" i="3"/>
  <c r="L6" i="3"/>
  <c r="L3" i="3"/>
  <c r="L11" i="3"/>
  <c r="L8" i="3"/>
  <c r="L7" i="3"/>
  <c r="L5" i="3"/>
  <c r="L10" i="3"/>
  <c r="L31" i="3"/>
  <c r="K10" i="3"/>
  <c r="K9" i="3"/>
  <c r="L18" i="3"/>
  <c r="L29" i="3"/>
  <c r="L17" i="3"/>
  <c r="L28" i="3"/>
  <c r="L16" i="3"/>
  <c r="L4" i="3"/>
  <c r="K8" i="3"/>
  <c r="K7" i="3"/>
  <c r="K32" i="3"/>
  <c r="K6" i="3"/>
  <c r="L30" i="3"/>
  <c r="L25" i="3"/>
  <c r="L13" i="3"/>
  <c r="K31" i="3"/>
  <c r="L21" i="3"/>
  <c r="L12" i="3"/>
  <c r="K30" i="3"/>
  <c r="K21" i="3"/>
  <c r="L22" i="3"/>
  <c r="K20" i="3"/>
  <c r="K19" i="3"/>
  <c r="L15" i="3"/>
  <c r="B86" i="4"/>
  <c r="K25" i="3"/>
  <c r="K13" i="3"/>
  <c r="K24" i="3"/>
  <c r="K12" i="3"/>
  <c r="L27" i="3"/>
  <c r="K23" i="3"/>
  <c r="K11" i="3"/>
  <c r="L26" i="3"/>
  <c r="L14" i="3"/>
  <c r="K3" i="3"/>
  <c r="B84" i="4"/>
  <c r="L24" i="3"/>
  <c r="L23" i="3"/>
  <c r="L9" i="3"/>
  <c r="K29" i="3"/>
  <c r="K17" i="3"/>
  <c r="K5" i="3"/>
  <c r="K28" i="3"/>
  <c r="K16" i="3"/>
  <c r="K4" i="3"/>
  <c r="K27" i="3"/>
  <c r="K26" i="3"/>
  <c r="J20" i="3"/>
  <c r="J8" i="3"/>
  <c r="J19" i="3"/>
  <c r="J7" i="3"/>
  <c r="J18" i="3"/>
  <c r="J6" i="3"/>
  <c r="J17" i="3"/>
  <c r="J5" i="3"/>
  <c r="J16" i="3"/>
  <c r="J4" i="3"/>
  <c r="J15" i="3"/>
  <c r="J32" i="3"/>
  <c r="J3" i="3"/>
  <c r="J14" i="3"/>
  <c r="J31" i="3"/>
  <c r="J25" i="3"/>
  <c r="J13" i="3"/>
  <c r="J30" i="3"/>
  <c r="J24" i="3"/>
  <c r="J12" i="3"/>
  <c r="J29" i="3"/>
  <c r="J23" i="3"/>
  <c r="J11" i="3"/>
  <c r="J28" i="3"/>
  <c r="J22" i="3"/>
  <c r="J10" i="3"/>
  <c r="H13" i="3"/>
  <c r="H25" i="3"/>
  <c r="H22" i="3"/>
  <c r="H24" i="3"/>
  <c r="H27" i="3"/>
  <c r="H8" i="3"/>
  <c r="H20" i="3"/>
  <c r="H32" i="3"/>
  <c r="H6" i="3"/>
  <c r="H18" i="3"/>
  <c r="H30" i="3"/>
  <c r="H11" i="3"/>
  <c r="H23" i="3"/>
  <c r="H4" i="3"/>
  <c r="H16" i="3"/>
  <c r="H28" i="3"/>
  <c r="H9" i="3"/>
  <c r="H21" i="3"/>
  <c r="H19" i="3"/>
  <c r="H31" i="3"/>
  <c r="H17" i="3"/>
  <c r="H29" i="3"/>
  <c r="H3" i="3"/>
  <c r="H10" i="3"/>
  <c r="H12" i="3"/>
  <c r="H7" i="3"/>
  <c r="H5" i="3"/>
  <c r="B85" i="4" l="1"/>
</calcChain>
</file>

<file path=xl/sharedStrings.xml><?xml version="1.0" encoding="utf-8"?>
<sst xmlns="http://schemas.openxmlformats.org/spreadsheetml/2006/main" count="277" uniqueCount="87">
  <si>
    <t>Student_ID</t>
  </si>
  <si>
    <t>Name</t>
  </si>
  <si>
    <t>Class</t>
  </si>
  <si>
    <t>Section</t>
  </si>
  <si>
    <t>Rahul</t>
  </si>
  <si>
    <t>A</t>
  </si>
  <si>
    <t>Ankit</t>
  </si>
  <si>
    <t>Priya</t>
  </si>
  <si>
    <t>B</t>
  </si>
  <si>
    <t>Neha</t>
  </si>
  <si>
    <t>D.o.b</t>
  </si>
  <si>
    <t>Status</t>
  </si>
  <si>
    <t>Contact</t>
  </si>
  <si>
    <t>Active</t>
  </si>
  <si>
    <t>Gender</t>
  </si>
  <si>
    <t>Male</t>
  </si>
  <si>
    <t>Female</t>
  </si>
  <si>
    <t>Aarav</t>
  </si>
  <si>
    <t>Ananya</t>
  </si>
  <si>
    <t>Vihaan</t>
  </si>
  <si>
    <t>Diya</t>
  </si>
  <si>
    <t>Arjun</t>
  </si>
  <si>
    <t>Saanvi</t>
  </si>
  <si>
    <t>Reyansh</t>
  </si>
  <si>
    <t>Aadhya</t>
  </si>
  <si>
    <t>Krishna</t>
  </si>
  <si>
    <t>Ishani</t>
  </si>
  <si>
    <t>Mohammed</t>
  </si>
  <si>
    <t>Zara</t>
  </si>
  <si>
    <t>Aditya</t>
  </si>
  <si>
    <t>Kiara</t>
  </si>
  <si>
    <t>Vivaan</t>
  </si>
  <si>
    <t>Pari</t>
  </si>
  <si>
    <t>Atharv</t>
  </si>
  <si>
    <t>Shanaya</t>
  </si>
  <si>
    <t>Darsh</t>
  </si>
  <si>
    <t>Prisha</t>
  </si>
  <si>
    <t>Sai</t>
  </si>
  <si>
    <t>Ahana</t>
  </si>
  <si>
    <t>Aryan</t>
  </si>
  <si>
    <t>Meher</t>
  </si>
  <si>
    <t>Ranbir</t>
  </si>
  <si>
    <t>C</t>
  </si>
  <si>
    <t>Rabin</t>
  </si>
  <si>
    <t>Math</t>
  </si>
  <si>
    <t>Eng</t>
  </si>
  <si>
    <t>Sci</t>
  </si>
  <si>
    <t>Comp</t>
  </si>
  <si>
    <t>SST</t>
  </si>
  <si>
    <t xml:space="preserve">Total </t>
  </si>
  <si>
    <t>Percentsge</t>
  </si>
  <si>
    <t>Grade</t>
  </si>
  <si>
    <t>Result</t>
  </si>
  <si>
    <t xml:space="preserve"> Rank</t>
  </si>
  <si>
    <t>Row Labels</t>
  </si>
  <si>
    <t>Grand Total</t>
  </si>
  <si>
    <t>Average of Percentsge</t>
  </si>
  <si>
    <t>PASS</t>
  </si>
  <si>
    <t>Count of Student_ID</t>
  </si>
  <si>
    <t>FAIL</t>
  </si>
  <si>
    <t>Count of Grade</t>
  </si>
  <si>
    <t>A+</t>
  </si>
  <si>
    <t>B+</t>
  </si>
  <si>
    <t>C+</t>
  </si>
  <si>
    <t>Sum of Math</t>
  </si>
  <si>
    <t>MATH</t>
  </si>
  <si>
    <t>ENGLISH</t>
  </si>
  <si>
    <t>SCIENCE</t>
  </si>
  <si>
    <t>COMPUTER</t>
  </si>
  <si>
    <t>SUBJECT</t>
  </si>
  <si>
    <t>AVERAGE</t>
  </si>
  <si>
    <t>Sum of AVERAGE</t>
  </si>
  <si>
    <t>Sum of  Rank</t>
  </si>
  <si>
    <t>Count of Name</t>
  </si>
  <si>
    <t>Sum of Eng</t>
  </si>
  <si>
    <t xml:space="preserve">RANK </t>
  </si>
  <si>
    <t>Sum of Sci</t>
  </si>
  <si>
    <t>Sum of Comp</t>
  </si>
  <si>
    <t>Sum of SST</t>
  </si>
  <si>
    <t xml:space="preserve">Sum of Total </t>
  </si>
  <si>
    <t>kpi card formula</t>
  </si>
  <si>
    <t>total student</t>
  </si>
  <si>
    <t>average</t>
  </si>
  <si>
    <t>pass student</t>
  </si>
  <si>
    <t>top percentage</t>
  </si>
  <si>
    <t>Sum of Percentsge</t>
  </si>
  <si>
    <t>TOP 5 STUDENT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</si>
</sst>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8">
    <font>
      <sz val="11"/>
      <color theme="1"/>
      <name val="Calibri"/>
      <family val="2"/>
      <scheme val="minor"/>
    </font>
    <font>
      <sz val="11"/>
      <color theme="1"/>
      <name val="Calibri"/>
      <family val="2"/>
      <scheme val="minor"/>
    </font>
    <font>
      <sz val="11"/>
      <color theme="0"/>
      <name val="Calibri"/>
      <family val="2"/>
      <scheme val="minor"/>
    </font>
    <font>
      <sz val="10"/>
      <color rgb="FF1F1F1F"/>
      <name val="Google Sans Text"/>
    </font>
    <font>
      <b/>
      <sz val="12"/>
      <color theme="0"/>
      <name val="Calibri"/>
      <family val="2"/>
      <scheme val="minor"/>
    </font>
    <font>
      <b/>
      <sz val="12"/>
      <color theme="1"/>
      <name val="Calibri"/>
      <family val="2"/>
      <scheme val="minor"/>
    </font>
    <font>
      <sz val="11"/>
      <color rgb="FF006100"/>
      <name val="Calibri"/>
      <family val="2"/>
      <scheme val="minor"/>
    </font>
    <font>
      <b/>
      <sz val="11"/>
      <color theme="1"/>
      <name val="Calibri"/>
      <family val="2"/>
      <scheme val="minor"/>
    </font>
  </fonts>
  <fills count="6">
    <fill>
      <patternFill patternType="none"/>
    </fill>
    <fill>
      <patternFill patternType="gray125"/>
    </fill>
    <fill>
      <patternFill patternType="solid">
        <fgColor theme="4"/>
      </patternFill>
    </fill>
    <fill>
      <patternFill patternType="solid">
        <fgColor theme="5" tint="0.39997558519241921"/>
        <bgColor indexed="65"/>
      </patternFill>
    </fill>
    <fill>
      <patternFill patternType="solid">
        <fgColor rgb="FFC6EFCE"/>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2" borderId="0" applyNumberFormat="0" applyBorder="0" applyAlignment="0" applyProtection="0"/>
    <xf numFmtId="0" fontId="1" fillId="3" borderId="0" applyNumberFormat="0" applyBorder="0" applyAlignment="0" applyProtection="0"/>
    <xf numFmtId="9" fontId="1" fillId="0" borderId="0" applyFont="0" applyFill="0" applyBorder="0" applyAlignment="0" applyProtection="0"/>
    <xf numFmtId="0" fontId="6" fillId="4" borderId="0" applyNumberFormat="0" applyBorder="0" applyAlignment="0" applyProtection="0"/>
  </cellStyleXfs>
  <cellXfs count="30">
    <xf numFmtId="0" fontId="0" fillId="0" borderId="0" xfId="0"/>
    <xf numFmtId="0" fontId="0" fillId="0" borderId="0" xfId="0" applyAlignment="1">
      <alignment horizontal="center" vertical="center" wrapText="1"/>
    </xf>
    <xf numFmtId="0" fontId="0" fillId="0" borderId="0" xfId="0" applyAlignment="1">
      <alignment horizontal="center" vertical="center"/>
    </xf>
    <xf numFmtId="1" fontId="0" fillId="0" borderId="0" xfId="0" applyNumberFormat="1" applyAlignment="1">
      <alignment horizontal="center" vertic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14" fontId="0" fillId="0" borderId="0" xfId="0" applyNumberFormat="1" applyAlignment="1">
      <alignment horizontal="center" vertical="center" wrapText="1"/>
    </xf>
    <xf numFmtId="0" fontId="4" fillId="2" borderId="1" xfId="1" applyFont="1" applyBorder="1" applyAlignment="1">
      <alignment horizontal="center" vertical="center" wrapText="1"/>
    </xf>
    <xf numFmtId="0" fontId="5" fillId="3" borderId="1" xfId="2" applyFont="1" applyBorder="1" applyAlignment="1">
      <alignment horizontal="center" vertical="center" wrapText="1"/>
    </xf>
    <xf numFmtId="0" fontId="5" fillId="3" borderId="0" xfId="2" applyFont="1" applyAlignment="1">
      <alignment horizontal="center" vertical="center" wrapText="1"/>
    </xf>
    <xf numFmtId="0" fontId="5" fillId="3" borderId="0" xfId="2" applyFont="1" applyAlignment="1">
      <alignment horizontal="center" vertical="center"/>
    </xf>
    <xf numFmtId="0" fontId="5" fillId="3" borderId="0" xfId="2" applyFont="1" applyBorder="1" applyAlignment="1">
      <alignment horizontal="center" vertical="center"/>
    </xf>
    <xf numFmtId="0" fontId="5" fillId="3" borderId="0" xfId="2" applyFont="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9" fontId="0" fillId="0" borderId="0" xfId="0" applyNumberFormat="1"/>
    <xf numFmtId="2" fontId="0" fillId="0" borderId="0" xfId="0" applyNumberFormat="1" applyAlignment="1">
      <alignment horizontal="center" vertical="center"/>
    </xf>
    <xf numFmtId="2" fontId="0" fillId="0" borderId="0" xfId="3" applyNumberFormat="1" applyFont="1"/>
    <xf numFmtId="0" fontId="0" fillId="5" borderId="0" xfId="0" applyFill="1"/>
    <xf numFmtId="0" fontId="5" fillId="0" borderId="0" xfId="0" applyFont="1"/>
    <xf numFmtId="0" fontId="6" fillId="4" borderId="0" xfId="4"/>
    <xf numFmtId="2" fontId="6" fillId="4" borderId="0" xfId="4" applyNumberFormat="1"/>
    <xf numFmtId="0" fontId="5" fillId="5" borderId="0" xfId="0" applyFont="1" applyFill="1"/>
    <xf numFmtId="0" fontId="0" fillId="0" borderId="0" xfId="0" pivotButton="1" applyAlignment="1">
      <alignment horizontal="center" vertical="center" wrapText="1"/>
    </xf>
    <xf numFmtId="0" fontId="0" fillId="0" borderId="0" xfId="0" applyAlignment="1">
      <alignment horizontal="left" indent="2"/>
    </xf>
    <xf numFmtId="0" fontId="7" fillId="0" borderId="0" xfId="0" applyFont="1" applyAlignment="1">
      <alignment horizontal="center"/>
    </xf>
  </cellXfs>
  <cellStyles count="5">
    <cellStyle name="60% - Accent2" xfId="2" builtinId="36"/>
    <cellStyle name="Accent1" xfId="1" builtinId="29"/>
    <cellStyle name="Good" xfId="4" builtinId="26"/>
    <cellStyle name="Normal" xfId="0" builtinId="0"/>
    <cellStyle name="Percent" xfId="3" builtinId="5"/>
  </cellStyles>
  <dxfs count="14">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[Student_Result.xlsx]pivot data!PivotTable2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data'!$A$3:$A$33</c:f>
              <c:strCache>
                <c:ptCount val="30"/>
                <c:pt idx="0">
                  <c:v>Aadhya</c:v>
                </c:pt>
                <c:pt idx="1">
                  <c:v>Aarav</c:v>
                </c:pt>
                <c:pt idx="2">
                  <c:v>Aditya</c:v>
                </c:pt>
                <c:pt idx="3">
                  <c:v>Ahana</c:v>
                </c:pt>
                <c:pt idx="4">
                  <c:v>Ananya</c:v>
                </c:pt>
                <c:pt idx="5">
                  <c:v>Ankit</c:v>
                </c:pt>
                <c:pt idx="6">
                  <c:v>Arjun</c:v>
                </c:pt>
                <c:pt idx="7">
                  <c:v>Aryan</c:v>
                </c:pt>
                <c:pt idx="8">
                  <c:v>Atharv</c:v>
                </c:pt>
                <c:pt idx="9">
                  <c:v>Darsh</c:v>
                </c:pt>
                <c:pt idx="10">
                  <c:v>Diya</c:v>
                </c:pt>
                <c:pt idx="11">
                  <c:v>Ishani</c:v>
                </c:pt>
                <c:pt idx="12">
                  <c:v>Kiara</c:v>
                </c:pt>
                <c:pt idx="13">
                  <c:v>Krishna</c:v>
                </c:pt>
                <c:pt idx="14">
                  <c:v>Meher</c:v>
                </c:pt>
                <c:pt idx="15">
                  <c:v>Mohammed</c:v>
                </c:pt>
                <c:pt idx="16">
                  <c:v>Neha</c:v>
                </c:pt>
                <c:pt idx="17">
                  <c:v>Pari</c:v>
                </c:pt>
                <c:pt idx="18">
                  <c:v>Prisha</c:v>
                </c:pt>
                <c:pt idx="19">
                  <c:v>Priya</c:v>
                </c:pt>
                <c:pt idx="20">
                  <c:v>Rabin</c:v>
                </c:pt>
                <c:pt idx="21">
                  <c:v>Rahul</c:v>
                </c:pt>
                <c:pt idx="22">
                  <c:v>Ranbir</c:v>
                </c:pt>
                <c:pt idx="23">
                  <c:v>Reyansh</c:v>
                </c:pt>
                <c:pt idx="24">
                  <c:v>Saanvi</c:v>
                </c:pt>
                <c:pt idx="25">
                  <c:v>Sai</c:v>
                </c:pt>
                <c:pt idx="26">
                  <c:v>Shanaya</c:v>
                </c:pt>
                <c:pt idx="27">
                  <c:v>Vihaan</c:v>
                </c:pt>
                <c:pt idx="28">
                  <c:v>Vivaan</c:v>
                </c:pt>
                <c:pt idx="29">
                  <c:v>Zara</c:v>
                </c:pt>
              </c:strCache>
            </c:strRef>
          </c:cat>
          <c:val>
            <c:numRef>
              <c:f>'pivot data'!$B$3:$B$33</c:f>
              <c:numCache>
                <c:formatCode>General</c:formatCode>
                <c:ptCount val="30"/>
                <c:pt idx="0">
                  <c:v>70.400000000000006</c:v>
                </c:pt>
                <c:pt idx="1">
                  <c:v>69.599999999999994</c:v>
                </c:pt>
                <c:pt idx="2">
                  <c:v>63.2</c:v>
                </c:pt>
                <c:pt idx="3">
                  <c:v>71.599999999999994</c:v>
                </c:pt>
                <c:pt idx="4">
                  <c:v>51.8</c:v>
                </c:pt>
                <c:pt idx="5">
                  <c:v>55.6</c:v>
                </c:pt>
                <c:pt idx="6">
                  <c:v>60</c:v>
                </c:pt>
                <c:pt idx="7">
                  <c:v>54.6</c:v>
                </c:pt>
                <c:pt idx="8">
                  <c:v>87.4</c:v>
                </c:pt>
                <c:pt idx="9">
                  <c:v>51.6</c:v>
                </c:pt>
                <c:pt idx="10">
                  <c:v>74.8</c:v>
                </c:pt>
                <c:pt idx="11">
                  <c:v>63.8</c:v>
                </c:pt>
                <c:pt idx="12">
                  <c:v>71</c:v>
                </c:pt>
                <c:pt idx="13">
                  <c:v>69.599999999999994</c:v>
                </c:pt>
                <c:pt idx="14">
                  <c:v>64</c:v>
                </c:pt>
                <c:pt idx="15">
                  <c:v>52.6</c:v>
                </c:pt>
                <c:pt idx="16">
                  <c:v>86.8</c:v>
                </c:pt>
                <c:pt idx="17">
                  <c:v>54</c:v>
                </c:pt>
                <c:pt idx="18">
                  <c:v>64.2</c:v>
                </c:pt>
                <c:pt idx="19">
                  <c:v>60</c:v>
                </c:pt>
                <c:pt idx="20">
                  <c:v>65.2</c:v>
                </c:pt>
                <c:pt idx="21">
                  <c:v>58.2</c:v>
                </c:pt>
                <c:pt idx="22">
                  <c:v>65.599999999999994</c:v>
                </c:pt>
                <c:pt idx="23">
                  <c:v>58</c:v>
                </c:pt>
                <c:pt idx="24">
                  <c:v>67</c:v>
                </c:pt>
                <c:pt idx="25">
                  <c:v>47.4</c:v>
                </c:pt>
                <c:pt idx="26">
                  <c:v>77.599999999999994</c:v>
                </c:pt>
                <c:pt idx="27">
                  <c:v>61.8</c:v>
                </c:pt>
                <c:pt idx="28">
                  <c:v>55.6</c:v>
                </c:pt>
                <c:pt idx="29">
                  <c:v>59.6</c:v>
                </c:pt>
              </c:numCache>
            </c:numRef>
          </c:val>
          <c:extLst>
            <c:ext xmlns:c16="http://schemas.microsoft.com/office/drawing/2014/chart" uri="{C3380CC4-5D6E-409C-BE32-E72D297353CC}">
              <c16:uniqueId val="{00000000-C471-4E35-9B97-BAFC44C9F88D}"/>
            </c:ext>
          </c:extLst>
        </c:ser>
        <c:dLbls>
          <c:dLblPos val="outEnd"/>
          <c:showLegendKey val="0"/>
          <c:showVal val="1"/>
          <c:showCatName val="0"/>
          <c:showSerName val="0"/>
          <c:showPercent val="0"/>
          <c:showBubbleSize val="0"/>
        </c:dLbls>
        <c:gapWidth val="219"/>
        <c:axId val="688608592"/>
        <c:axId val="688609072"/>
      </c:barChart>
      <c:catAx>
        <c:axId val="688608592"/>
        <c:scaling>
          <c:orientation val="minMax"/>
        </c:scaling>
        <c:delete val="1"/>
        <c:axPos val="b"/>
        <c:numFmt formatCode="General" sourceLinked="1"/>
        <c:majorTickMark val="out"/>
        <c:minorTickMark val="none"/>
        <c:tickLblPos val="nextTo"/>
        <c:crossAx val="688609072"/>
        <c:crosses val="autoZero"/>
        <c:auto val="1"/>
        <c:lblAlgn val="ctr"/>
        <c:lblOffset val="100"/>
        <c:noMultiLvlLbl val="0"/>
      </c:catAx>
      <c:valAx>
        <c:axId val="688609072"/>
        <c:scaling>
          <c:orientation val="minMax"/>
        </c:scaling>
        <c:delete val="1"/>
        <c:axPos val="l"/>
        <c:numFmt formatCode="General" sourceLinked="1"/>
        <c:majorTickMark val="out"/>
        <c:minorTickMark val="none"/>
        <c:tickLblPos val="nextTo"/>
        <c:crossAx val="68860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[Student_Result.xlsx]pivot data!PivotTable3</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Pass</a:t>
            </a:r>
            <a:r>
              <a:rPr lang="en-IN" baseline="0">
                <a:solidFill>
                  <a:schemeClr val="tx1"/>
                </a:solidFill>
              </a:rPr>
              <a:t> vs Fail Distribution</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data'!$B$35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B5-477A-AC88-CEAD50C470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B5-477A-AC88-CEAD50C470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data'!$A$36:$A$38</c:f>
              <c:strCache>
                <c:ptCount val="2"/>
                <c:pt idx="0">
                  <c:v>PASS</c:v>
                </c:pt>
                <c:pt idx="1">
                  <c:v>FAIL</c:v>
                </c:pt>
              </c:strCache>
            </c:strRef>
          </c:cat>
          <c:val>
            <c:numRef>
              <c:f>'pivot data'!$B$36:$B$38</c:f>
              <c:numCache>
                <c:formatCode>0%</c:formatCode>
                <c:ptCount val="2"/>
                <c:pt idx="0">
                  <c:v>0.96666666666666667</c:v>
                </c:pt>
                <c:pt idx="1">
                  <c:v>3.3333333333333333E-2</c:v>
                </c:pt>
              </c:numCache>
            </c:numRef>
          </c:val>
          <c:extLst>
            <c:ext xmlns:c16="http://schemas.microsoft.com/office/drawing/2014/chart" uri="{C3380CC4-5D6E-409C-BE32-E72D297353CC}">
              <c16:uniqueId val="{00000000-5724-4266-818F-92677E43CCF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[Student_Result.xlsx]pivot data!PivotTable4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data'!$K$33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7E0-4C73-8E4A-2CB9BE49B6E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7E0-4C73-8E4A-2CB9BE49B6E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7E0-4C73-8E4A-2CB9BE49B6E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7E0-4C73-8E4A-2CB9BE49B6E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7E0-4C73-8E4A-2CB9BE49B6E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7E0-4C73-8E4A-2CB9BE49B6E1}"/>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7E0-4C73-8E4A-2CB9BE49B6E1}"/>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7E0-4C73-8E4A-2CB9BE49B6E1}"/>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E7E0-4C73-8E4A-2CB9BE49B6E1}"/>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E7E0-4C73-8E4A-2CB9BE49B6E1}"/>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E7E0-4C73-8E4A-2CB9BE49B6E1}"/>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E7E0-4C73-8E4A-2CB9BE49B6E1}"/>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E7E0-4C73-8E4A-2CB9BE49B6E1}"/>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E7E0-4C73-8E4A-2CB9BE49B6E1}"/>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E7E0-4C73-8E4A-2CB9BE49B6E1}"/>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E7E0-4C73-8E4A-2CB9BE49B6E1}"/>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E7E0-4C73-8E4A-2CB9BE49B6E1}"/>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E7E0-4C73-8E4A-2CB9BE49B6E1}"/>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E7E0-4C73-8E4A-2CB9BE49B6E1}"/>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E7E0-4C73-8E4A-2CB9BE49B6E1}"/>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E7E0-4C73-8E4A-2CB9BE49B6E1}"/>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E7E0-4C73-8E4A-2CB9BE49B6E1}"/>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E7E0-4C73-8E4A-2CB9BE49B6E1}"/>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E7E0-4C73-8E4A-2CB9BE49B6E1}"/>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E7E0-4C73-8E4A-2CB9BE49B6E1}"/>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E7E0-4C73-8E4A-2CB9BE49B6E1}"/>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E7E0-4C73-8E4A-2CB9BE49B6E1}"/>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E7E0-4C73-8E4A-2CB9BE49B6E1}"/>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E7E0-4C73-8E4A-2CB9BE49B6E1}"/>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E7E0-4C73-8E4A-2CB9BE49B6E1}"/>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E7E0-4C73-8E4A-2CB9BE49B6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data'!$J$34:$J$39</c:f>
              <c:strCache>
                <c:ptCount val="5"/>
                <c:pt idx="0">
                  <c:v>A</c:v>
                </c:pt>
                <c:pt idx="1">
                  <c:v>A+</c:v>
                </c:pt>
                <c:pt idx="2">
                  <c:v>B</c:v>
                </c:pt>
                <c:pt idx="3">
                  <c:v>B+</c:v>
                </c:pt>
                <c:pt idx="4">
                  <c:v>C+</c:v>
                </c:pt>
              </c:strCache>
            </c:strRef>
          </c:cat>
          <c:val>
            <c:numRef>
              <c:f>'pivot data'!$K$34:$K$39</c:f>
              <c:numCache>
                <c:formatCode>General</c:formatCode>
                <c:ptCount val="5"/>
                <c:pt idx="0">
                  <c:v>5</c:v>
                </c:pt>
                <c:pt idx="1">
                  <c:v>2</c:v>
                </c:pt>
                <c:pt idx="2">
                  <c:v>10</c:v>
                </c:pt>
                <c:pt idx="3">
                  <c:v>12</c:v>
                </c:pt>
                <c:pt idx="4">
                  <c:v>1</c:v>
                </c:pt>
              </c:numCache>
            </c:numRef>
          </c:val>
          <c:extLst>
            <c:ext xmlns:c16="http://schemas.microsoft.com/office/drawing/2014/chart" uri="{C3380CC4-5D6E-409C-BE32-E72D297353CC}">
              <c16:uniqueId val="{00000000-8A23-49E4-9859-82FEC46B194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[Student_Result.xlsx]pivot data!PivotTable9</c:name>
    <c:fmtId val="0"/>
  </c:pivotSource>
  <c:chart>
    <c:autoTitleDeleted val="1"/>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data'!$G$58</c:f>
              <c:strCache>
                <c:ptCount val="1"/>
                <c:pt idx="0">
                  <c:v>Total</c:v>
                </c:pt>
              </c:strCache>
            </c:strRef>
          </c:tx>
          <c:spPr>
            <a:solidFill>
              <a:schemeClr val="accent2"/>
            </a:solidFill>
            <a:ln>
              <a:noFill/>
            </a:ln>
            <a:effectLst/>
            <a:sp3d/>
          </c:spPr>
          <c:invertIfNegative val="0"/>
          <c:cat>
            <c:strRef>
              <c:f>'pivot data'!$F$59:$F$64</c:f>
              <c:strCache>
                <c:ptCount val="5"/>
                <c:pt idx="0">
                  <c:v>COMPUTER</c:v>
                </c:pt>
                <c:pt idx="1">
                  <c:v>ENGLISH</c:v>
                </c:pt>
                <c:pt idx="2">
                  <c:v>MATH</c:v>
                </c:pt>
                <c:pt idx="3">
                  <c:v>SCIENCE</c:v>
                </c:pt>
                <c:pt idx="4">
                  <c:v>SST</c:v>
                </c:pt>
              </c:strCache>
            </c:strRef>
          </c:cat>
          <c:val>
            <c:numRef>
              <c:f>'pivot data'!$G$59:$G$64</c:f>
              <c:numCache>
                <c:formatCode>0.00%</c:formatCode>
                <c:ptCount val="5"/>
                <c:pt idx="0">
                  <c:v>0.18236954930461152</c:v>
                </c:pt>
                <c:pt idx="1">
                  <c:v>0.20035553696538744</c:v>
                </c:pt>
                <c:pt idx="2">
                  <c:v>0.19815957335564155</c:v>
                </c:pt>
                <c:pt idx="3">
                  <c:v>0.20600230053330548</c:v>
                </c:pt>
                <c:pt idx="4">
                  <c:v>0.21311303984105409</c:v>
                </c:pt>
              </c:numCache>
            </c:numRef>
          </c:val>
          <c:extLst>
            <c:ext xmlns:c16="http://schemas.microsoft.com/office/drawing/2014/chart" uri="{C3380CC4-5D6E-409C-BE32-E72D297353CC}">
              <c16:uniqueId val="{00000000-01B0-4C7C-8C97-13A2F5E0903B}"/>
            </c:ext>
          </c:extLst>
        </c:ser>
        <c:dLbls>
          <c:showLegendKey val="0"/>
          <c:showVal val="0"/>
          <c:showCatName val="0"/>
          <c:showSerName val="0"/>
          <c:showPercent val="0"/>
          <c:showBubbleSize val="0"/>
        </c:dLbls>
        <c:gapWidth val="150"/>
        <c:shape val="box"/>
        <c:axId val="513623424"/>
        <c:axId val="513620064"/>
        <c:axId val="0"/>
      </c:bar3DChart>
      <c:catAx>
        <c:axId val="513623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620064"/>
        <c:crosses val="autoZero"/>
        <c:auto val="1"/>
        <c:lblAlgn val="ctr"/>
        <c:lblOffset val="100"/>
        <c:noMultiLvlLbl val="0"/>
      </c:catAx>
      <c:valAx>
        <c:axId val="5136200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62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[Student_Result.xlsx]pivot data!PivotTable5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data'!$B$47</c:f>
              <c:strCache>
                <c:ptCount val="1"/>
                <c:pt idx="0">
                  <c:v>Count of Name</c:v>
                </c:pt>
              </c:strCache>
            </c:strRef>
          </c:tx>
          <c:spPr>
            <a:solidFill>
              <a:schemeClr val="accent1"/>
            </a:solidFill>
            <a:ln>
              <a:noFill/>
            </a:ln>
            <a:effectLst/>
          </c:spPr>
          <c:invertIfNegative val="0"/>
          <c:cat>
            <c:multiLvlStrRef>
              <c:f>'pivot data'!$A$48:$A$63</c:f>
              <c:multiLvlStrCache>
                <c:ptCount val="5"/>
                <c:lvl>
                  <c:pt idx="0">
                    <c:v>A+</c:v>
                  </c:pt>
                  <c:pt idx="1">
                    <c:v>A+</c:v>
                  </c:pt>
                  <c:pt idx="2">
                    <c:v>A</c:v>
                  </c:pt>
                  <c:pt idx="3">
                    <c:v>A</c:v>
                  </c:pt>
                  <c:pt idx="4">
                    <c:v>A</c:v>
                  </c:pt>
                </c:lvl>
                <c:lvl>
                  <c:pt idx="0">
                    <c:v>Atharv</c:v>
                  </c:pt>
                  <c:pt idx="1">
                    <c:v>Neha</c:v>
                  </c:pt>
                  <c:pt idx="2">
                    <c:v>Shanaya</c:v>
                  </c:pt>
                  <c:pt idx="3">
                    <c:v>Diya</c:v>
                  </c:pt>
                  <c:pt idx="4">
                    <c:v>Ahana</c:v>
                  </c:pt>
                </c:lvl>
                <c:lvl>
                  <c:pt idx="0">
                    <c:v>1</c:v>
                  </c:pt>
                  <c:pt idx="1">
                    <c:v>2</c:v>
                  </c:pt>
                  <c:pt idx="2">
                    <c:v>3</c:v>
                  </c:pt>
                  <c:pt idx="3">
                    <c:v>4</c:v>
                  </c:pt>
                  <c:pt idx="4">
                    <c:v>5</c:v>
                  </c:pt>
                </c:lvl>
              </c:multiLvlStrCache>
            </c:multiLvlStrRef>
          </c:cat>
          <c:val>
            <c:numRef>
              <c:f>'pivot data'!$B$48:$B$63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0-F37E-43AD-B8F8-409B3D440DD9}"/>
            </c:ext>
          </c:extLst>
        </c:ser>
        <c:ser>
          <c:idx val="1"/>
          <c:order val="1"/>
          <c:tx>
            <c:strRef>
              <c:f>'pivot data'!$C$47</c:f>
              <c:strCache>
                <c:ptCount val="1"/>
                <c:pt idx="0">
                  <c:v>Sum of Percentsge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data'!$A$48:$A$63</c:f>
              <c:multiLvlStrCache>
                <c:ptCount val="5"/>
                <c:lvl>
                  <c:pt idx="0">
                    <c:v>A+</c:v>
                  </c:pt>
                  <c:pt idx="1">
                    <c:v>A+</c:v>
                  </c:pt>
                  <c:pt idx="2">
                    <c:v>A</c:v>
                  </c:pt>
                  <c:pt idx="3">
                    <c:v>A</c:v>
                  </c:pt>
                  <c:pt idx="4">
                    <c:v>A</c:v>
                  </c:pt>
                </c:lvl>
                <c:lvl>
                  <c:pt idx="0">
                    <c:v>Atharv</c:v>
                  </c:pt>
                  <c:pt idx="1">
                    <c:v>Neha</c:v>
                  </c:pt>
                  <c:pt idx="2">
                    <c:v>Shanaya</c:v>
                  </c:pt>
                  <c:pt idx="3">
                    <c:v>Diya</c:v>
                  </c:pt>
                  <c:pt idx="4">
                    <c:v>Ahana</c:v>
                  </c:pt>
                </c:lvl>
                <c:lvl>
                  <c:pt idx="0">
                    <c:v>1</c:v>
                  </c:pt>
                  <c:pt idx="1">
                    <c:v>2</c:v>
                  </c:pt>
                  <c:pt idx="2">
                    <c:v>3</c:v>
                  </c:pt>
                  <c:pt idx="3">
                    <c:v>4</c:v>
                  </c:pt>
                  <c:pt idx="4">
                    <c:v>5</c:v>
                  </c:pt>
                </c:lvl>
              </c:multiLvlStrCache>
            </c:multiLvlStrRef>
          </c:cat>
          <c:val>
            <c:numRef>
              <c:f>'pivot data'!$C$48:$C$63</c:f>
              <c:numCache>
                <c:formatCode>General</c:formatCode>
                <c:ptCount val="5"/>
                <c:pt idx="0">
                  <c:v>87.4</c:v>
                </c:pt>
                <c:pt idx="1">
                  <c:v>86.8</c:v>
                </c:pt>
                <c:pt idx="2">
                  <c:v>77.599999999999994</c:v>
                </c:pt>
                <c:pt idx="3">
                  <c:v>74.8</c:v>
                </c:pt>
                <c:pt idx="4">
                  <c:v>71.599999999999994</c:v>
                </c:pt>
              </c:numCache>
            </c:numRef>
          </c:val>
          <c:extLst>
            <c:ext xmlns:c16="http://schemas.microsoft.com/office/drawing/2014/chart" uri="{C3380CC4-5D6E-409C-BE32-E72D297353CC}">
              <c16:uniqueId val="{00000002-001A-40DA-BAEC-048BDC5ED47C}"/>
            </c:ext>
          </c:extLst>
        </c:ser>
        <c:dLbls>
          <c:showLegendKey val="0"/>
          <c:showVal val="0"/>
          <c:showCatName val="0"/>
          <c:showSerName val="0"/>
          <c:showPercent val="0"/>
          <c:showBubbleSize val="0"/>
        </c:dLbls>
        <c:gapWidth val="219"/>
        <c:overlap val="-27"/>
        <c:axId val="197563808"/>
        <c:axId val="197556128"/>
      </c:barChart>
      <c:catAx>
        <c:axId val="19756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56128"/>
        <c:crosses val="autoZero"/>
        <c:auto val="1"/>
        <c:lblAlgn val="ctr"/>
        <c:lblOffset val="100"/>
        <c:noMultiLvlLbl val="0"/>
      </c:catAx>
      <c:valAx>
        <c:axId val="19755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638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[Student_Result.xlsx]pivot data!PivotTable2</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data'!$A$3:$A$33</c:f>
              <c:strCache>
                <c:ptCount val="30"/>
                <c:pt idx="0">
                  <c:v>Aadhya</c:v>
                </c:pt>
                <c:pt idx="1">
                  <c:v>Aarav</c:v>
                </c:pt>
                <c:pt idx="2">
                  <c:v>Aditya</c:v>
                </c:pt>
                <c:pt idx="3">
                  <c:v>Ahana</c:v>
                </c:pt>
                <c:pt idx="4">
                  <c:v>Ananya</c:v>
                </c:pt>
                <c:pt idx="5">
                  <c:v>Ankit</c:v>
                </c:pt>
                <c:pt idx="6">
                  <c:v>Arjun</c:v>
                </c:pt>
                <c:pt idx="7">
                  <c:v>Aryan</c:v>
                </c:pt>
                <c:pt idx="8">
                  <c:v>Atharv</c:v>
                </c:pt>
                <c:pt idx="9">
                  <c:v>Darsh</c:v>
                </c:pt>
                <c:pt idx="10">
                  <c:v>Diya</c:v>
                </c:pt>
                <c:pt idx="11">
                  <c:v>Ishani</c:v>
                </c:pt>
                <c:pt idx="12">
                  <c:v>Kiara</c:v>
                </c:pt>
                <c:pt idx="13">
                  <c:v>Krishna</c:v>
                </c:pt>
                <c:pt idx="14">
                  <c:v>Meher</c:v>
                </c:pt>
                <c:pt idx="15">
                  <c:v>Mohammed</c:v>
                </c:pt>
                <c:pt idx="16">
                  <c:v>Neha</c:v>
                </c:pt>
                <c:pt idx="17">
                  <c:v>Pari</c:v>
                </c:pt>
                <c:pt idx="18">
                  <c:v>Prisha</c:v>
                </c:pt>
                <c:pt idx="19">
                  <c:v>Priya</c:v>
                </c:pt>
                <c:pt idx="20">
                  <c:v>Rabin</c:v>
                </c:pt>
                <c:pt idx="21">
                  <c:v>Rahul</c:v>
                </c:pt>
                <c:pt idx="22">
                  <c:v>Ranbir</c:v>
                </c:pt>
                <c:pt idx="23">
                  <c:v>Reyansh</c:v>
                </c:pt>
                <c:pt idx="24">
                  <c:v>Saanvi</c:v>
                </c:pt>
                <c:pt idx="25">
                  <c:v>Sai</c:v>
                </c:pt>
                <c:pt idx="26">
                  <c:v>Shanaya</c:v>
                </c:pt>
                <c:pt idx="27">
                  <c:v>Vihaan</c:v>
                </c:pt>
                <c:pt idx="28">
                  <c:v>Vivaan</c:v>
                </c:pt>
                <c:pt idx="29">
                  <c:v>Zara</c:v>
                </c:pt>
              </c:strCache>
            </c:strRef>
          </c:cat>
          <c:val>
            <c:numRef>
              <c:f>'pivot data'!$B$3:$B$33</c:f>
              <c:numCache>
                <c:formatCode>General</c:formatCode>
                <c:ptCount val="30"/>
                <c:pt idx="0">
                  <c:v>70.400000000000006</c:v>
                </c:pt>
                <c:pt idx="1">
                  <c:v>69.599999999999994</c:v>
                </c:pt>
                <c:pt idx="2">
                  <c:v>63.2</c:v>
                </c:pt>
                <c:pt idx="3">
                  <c:v>71.599999999999994</c:v>
                </c:pt>
                <c:pt idx="4">
                  <c:v>51.8</c:v>
                </c:pt>
                <c:pt idx="5">
                  <c:v>55.6</c:v>
                </c:pt>
                <c:pt idx="6">
                  <c:v>60</c:v>
                </c:pt>
                <c:pt idx="7">
                  <c:v>54.6</c:v>
                </c:pt>
                <c:pt idx="8">
                  <c:v>87.4</c:v>
                </c:pt>
                <c:pt idx="9">
                  <c:v>51.6</c:v>
                </c:pt>
                <c:pt idx="10">
                  <c:v>74.8</c:v>
                </c:pt>
                <c:pt idx="11">
                  <c:v>63.8</c:v>
                </c:pt>
                <c:pt idx="12">
                  <c:v>71</c:v>
                </c:pt>
                <c:pt idx="13">
                  <c:v>69.599999999999994</c:v>
                </c:pt>
                <c:pt idx="14">
                  <c:v>64</c:v>
                </c:pt>
                <c:pt idx="15">
                  <c:v>52.6</c:v>
                </c:pt>
                <c:pt idx="16">
                  <c:v>86.8</c:v>
                </c:pt>
                <c:pt idx="17">
                  <c:v>54</c:v>
                </c:pt>
                <c:pt idx="18">
                  <c:v>64.2</c:v>
                </c:pt>
                <c:pt idx="19">
                  <c:v>60</c:v>
                </c:pt>
                <c:pt idx="20">
                  <c:v>65.2</c:v>
                </c:pt>
                <c:pt idx="21">
                  <c:v>58.2</c:v>
                </c:pt>
                <c:pt idx="22">
                  <c:v>65.599999999999994</c:v>
                </c:pt>
                <c:pt idx="23">
                  <c:v>58</c:v>
                </c:pt>
                <c:pt idx="24">
                  <c:v>67</c:v>
                </c:pt>
                <c:pt idx="25">
                  <c:v>47.4</c:v>
                </c:pt>
                <c:pt idx="26">
                  <c:v>77.599999999999994</c:v>
                </c:pt>
                <c:pt idx="27">
                  <c:v>61.8</c:v>
                </c:pt>
                <c:pt idx="28">
                  <c:v>55.6</c:v>
                </c:pt>
                <c:pt idx="29">
                  <c:v>59.6</c:v>
                </c:pt>
              </c:numCache>
            </c:numRef>
          </c:val>
          <c:extLst>
            <c:ext xmlns:c16="http://schemas.microsoft.com/office/drawing/2014/chart" uri="{C3380CC4-5D6E-409C-BE32-E72D297353CC}">
              <c16:uniqueId val="{00000000-AFC6-4B08-9734-69FB722BBD75}"/>
            </c:ext>
          </c:extLst>
        </c:ser>
        <c:dLbls>
          <c:dLblPos val="outEnd"/>
          <c:showLegendKey val="0"/>
          <c:showVal val="1"/>
          <c:showCatName val="0"/>
          <c:showSerName val="0"/>
          <c:showPercent val="0"/>
          <c:showBubbleSize val="0"/>
        </c:dLbls>
        <c:gapWidth val="219"/>
        <c:axId val="688608592"/>
        <c:axId val="688609072"/>
      </c:barChart>
      <c:catAx>
        <c:axId val="688608592"/>
        <c:scaling>
          <c:orientation val="minMax"/>
        </c:scaling>
        <c:delete val="1"/>
        <c:axPos val="b"/>
        <c:numFmt formatCode="General" sourceLinked="1"/>
        <c:majorTickMark val="out"/>
        <c:minorTickMark val="none"/>
        <c:tickLblPos val="nextTo"/>
        <c:crossAx val="688609072"/>
        <c:crosses val="autoZero"/>
        <c:auto val="1"/>
        <c:lblAlgn val="ctr"/>
        <c:lblOffset val="100"/>
        <c:noMultiLvlLbl val="0"/>
      </c:catAx>
      <c:valAx>
        <c:axId val="688609072"/>
        <c:scaling>
          <c:orientation val="minMax"/>
        </c:scaling>
        <c:delete val="1"/>
        <c:axPos val="l"/>
        <c:numFmt formatCode="General" sourceLinked="1"/>
        <c:majorTickMark val="out"/>
        <c:minorTickMark val="none"/>
        <c:tickLblPos val="nextTo"/>
        <c:crossAx val="68860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[Student_Result.xlsx]pivot data!PivotTable3</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041312939219049"/>
          <c:y val="0.18189454196906055"/>
          <c:w val="0.80644629701755433"/>
          <c:h val="0.74846173383442349"/>
        </c:manualLayout>
      </c:layout>
      <c:pieChart>
        <c:varyColors val="1"/>
        <c:ser>
          <c:idx val="0"/>
          <c:order val="0"/>
          <c:tx>
            <c:strRef>
              <c:f>'pivot data'!$B$35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83-40FE-B530-CEA1FCE872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83-40FE-B530-CEA1FCE872C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data'!$A$36:$A$38</c:f>
              <c:strCache>
                <c:ptCount val="2"/>
                <c:pt idx="0">
                  <c:v>PASS</c:v>
                </c:pt>
                <c:pt idx="1">
                  <c:v>FAIL</c:v>
                </c:pt>
              </c:strCache>
            </c:strRef>
          </c:cat>
          <c:val>
            <c:numRef>
              <c:f>'pivot data'!$B$36:$B$38</c:f>
              <c:numCache>
                <c:formatCode>0%</c:formatCode>
                <c:ptCount val="2"/>
                <c:pt idx="0">
                  <c:v>0.96666666666666667</c:v>
                </c:pt>
                <c:pt idx="1">
                  <c:v>3.3333333333333333E-2</c:v>
                </c:pt>
              </c:numCache>
            </c:numRef>
          </c:val>
          <c:extLst>
            <c:ext xmlns:c16="http://schemas.microsoft.com/office/drawing/2014/chart" uri="{C3380CC4-5D6E-409C-BE32-E72D297353CC}">
              <c16:uniqueId val="{00000004-AA83-40FE-B530-CEA1FCE872C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5364719126480861"/>
          <c:y val="5.5754720139209443E-2"/>
          <c:w val="0.20382311879318976"/>
          <c:h val="0.223412295871657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[Student_Result.xlsx]pivot data!PivotTable4</c:name>
    <c:fmtId val="17"/>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1565183104446412"/>
          <c:w val="0.88311475611071866"/>
          <c:h val="0.71821018880496867"/>
        </c:manualLayout>
      </c:layout>
      <c:pie3DChart>
        <c:varyColors val="1"/>
        <c:ser>
          <c:idx val="0"/>
          <c:order val="0"/>
          <c:tx>
            <c:strRef>
              <c:f>'pivot data'!$K$33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C42-4F64-91CF-9DB85D38C1A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C42-4F64-91CF-9DB85D38C1A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C42-4F64-91CF-9DB85D38C1A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C42-4F64-91CF-9DB85D38C1A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C42-4F64-91CF-9DB85D38C1A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C42-4F64-91CF-9DB85D38C1A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C42-4F64-91CF-9DB85D38C1AE}"/>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C42-4F64-91CF-9DB85D38C1AE}"/>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C42-4F64-91CF-9DB85D38C1AE}"/>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C42-4F64-91CF-9DB85D38C1AE}"/>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9C42-4F64-91CF-9DB85D38C1AE}"/>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9C42-4F64-91CF-9DB85D38C1AE}"/>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9C42-4F64-91CF-9DB85D38C1AE}"/>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9C42-4F64-91CF-9DB85D38C1AE}"/>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9C42-4F64-91CF-9DB85D38C1AE}"/>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9C42-4F64-91CF-9DB85D38C1AE}"/>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9C42-4F64-91CF-9DB85D38C1AE}"/>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9C42-4F64-91CF-9DB85D38C1AE}"/>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9C42-4F64-91CF-9DB85D38C1AE}"/>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9C42-4F64-91CF-9DB85D38C1AE}"/>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9C42-4F64-91CF-9DB85D38C1AE}"/>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9C42-4F64-91CF-9DB85D38C1AE}"/>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9C42-4F64-91CF-9DB85D38C1AE}"/>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9C42-4F64-91CF-9DB85D38C1AE}"/>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9C42-4F64-91CF-9DB85D38C1AE}"/>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9C42-4F64-91CF-9DB85D38C1AE}"/>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9C42-4F64-91CF-9DB85D38C1AE}"/>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9C42-4F64-91CF-9DB85D38C1AE}"/>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9C42-4F64-91CF-9DB85D38C1AE}"/>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9C42-4F64-91CF-9DB85D38C1AE}"/>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9C42-4F64-91CF-9DB85D38C1AE}"/>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data'!$J$34:$J$39</c:f>
              <c:strCache>
                <c:ptCount val="5"/>
                <c:pt idx="0">
                  <c:v>A</c:v>
                </c:pt>
                <c:pt idx="1">
                  <c:v>A+</c:v>
                </c:pt>
                <c:pt idx="2">
                  <c:v>B</c:v>
                </c:pt>
                <c:pt idx="3">
                  <c:v>B+</c:v>
                </c:pt>
                <c:pt idx="4">
                  <c:v>C+</c:v>
                </c:pt>
              </c:strCache>
            </c:strRef>
          </c:cat>
          <c:val>
            <c:numRef>
              <c:f>'pivot data'!$K$34:$K$39</c:f>
              <c:numCache>
                <c:formatCode>General</c:formatCode>
                <c:ptCount val="5"/>
                <c:pt idx="0">
                  <c:v>5</c:v>
                </c:pt>
                <c:pt idx="1">
                  <c:v>2</c:v>
                </c:pt>
                <c:pt idx="2">
                  <c:v>10</c:v>
                </c:pt>
                <c:pt idx="3">
                  <c:v>12</c:v>
                </c:pt>
                <c:pt idx="4">
                  <c:v>1</c:v>
                </c:pt>
              </c:numCache>
            </c:numRef>
          </c:val>
          <c:extLst>
            <c:ext xmlns:c16="http://schemas.microsoft.com/office/drawing/2014/chart" uri="{C3380CC4-5D6E-409C-BE32-E72D297353CC}">
              <c16:uniqueId val="{0000003E-9C42-4F64-91CF-9DB85D38C1AE}"/>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0820519016186065"/>
          <c:y val="0.11368614421557452"/>
          <c:w val="0.13846149373341612"/>
          <c:h val="0.7371845226996941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[Student_Result.xlsx]pivot data!PivotTable9</c:name>
    <c:fmtId val="9"/>
  </c:pivotSource>
  <c:chart>
    <c:autoTitleDeleted val="1"/>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data'!$G$58</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data'!$F$59:$F$64</c:f>
              <c:strCache>
                <c:ptCount val="5"/>
                <c:pt idx="0">
                  <c:v>COMPUTER</c:v>
                </c:pt>
                <c:pt idx="1">
                  <c:v>ENGLISH</c:v>
                </c:pt>
                <c:pt idx="2">
                  <c:v>MATH</c:v>
                </c:pt>
                <c:pt idx="3">
                  <c:v>SCIENCE</c:v>
                </c:pt>
                <c:pt idx="4">
                  <c:v>SST</c:v>
                </c:pt>
              </c:strCache>
            </c:strRef>
          </c:cat>
          <c:val>
            <c:numRef>
              <c:f>'pivot data'!$G$59:$G$64</c:f>
              <c:numCache>
                <c:formatCode>0.00%</c:formatCode>
                <c:ptCount val="5"/>
                <c:pt idx="0">
                  <c:v>0.18236954930461152</c:v>
                </c:pt>
                <c:pt idx="1">
                  <c:v>0.20035553696538744</c:v>
                </c:pt>
                <c:pt idx="2">
                  <c:v>0.19815957335564155</c:v>
                </c:pt>
                <c:pt idx="3">
                  <c:v>0.20600230053330548</c:v>
                </c:pt>
                <c:pt idx="4">
                  <c:v>0.21311303984105409</c:v>
                </c:pt>
              </c:numCache>
            </c:numRef>
          </c:val>
          <c:extLst>
            <c:ext xmlns:c16="http://schemas.microsoft.com/office/drawing/2014/chart" uri="{C3380CC4-5D6E-409C-BE32-E72D297353CC}">
              <c16:uniqueId val="{00000000-9058-4521-8574-E25411270EF9}"/>
            </c:ext>
          </c:extLst>
        </c:ser>
        <c:dLbls>
          <c:showLegendKey val="0"/>
          <c:showVal val="0"/>
          <c:showCatName val="0"/>
          <c:showSerName val="0"/>
          <c:showPercent val="0"/>
          <c:showBubbleSize val="0"/>
        </c:dLbls>
        <c:gapWidth val="150"/>
        <c:shape val="box"/>
        <c:axId val="513623424"/>
        <c:axId val="513620064"/>
        <c:axId val="0"/>
      </c:bar3DChart>
      <c:catAx>
        <c:axId val="513623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620064"/>
        <c:crosses val="autoZero"/>
        <c:auto val="1"/>
        <c:lblAlgn val="ctr"/>
        <c:lblOffset val="100"/>
        <c:noMultiLvlLbl val="0"/>
      </c:catAx>
      <c:valAx>
        <c:axId val="5136200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62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[Student_Result.xlsx]pivot data!PivotTable5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41983860183214"/>
          <c:y val="0.1477488161817897"/>
          <c:w val="0.85427421665809045"/>
          <c:h val="0.48157675153874929"/>
        </c:manualLayout>
      </c:layout>
      <c:barChart>
        <c:barDir val="col"/>
        <c:grouping val="clustered"/>
        <c:varyColors val="0"/>
        <c:ser>
          <c:idx val="0"/>
          <c:order val="0"/>
          <c:tx>
            <c:strRef>
              <c:f>'pivot data'!$B$47</c:f>
              <c:strCache>
                <c:ptCount val="1"/>
                <c:pt idx="0">
                  <c:v>Count of Name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data'!$A$48:$A$63</c:f>
              <c:multiLvlStrCache>
                <c:ptCount val="5"/>
                <c:lvl>
                  <c:pt idx="0">
                    <c:v>A+</c:v>
                  </c:pt>
                  <c:pt idx="1">
                    <c:v>A+</c:v>
                  </c:pt>
                  <c:pt idx="2">
                    <c:v>A</c:v>
                  </c:pt>
                  <c:pt idx="3">
                    <c:v>A</c:v>
                  </c:pt>
                  <c:pt idx="4">
                    <c:v>A</c:v>
                  </c:pt>
                </c:lvl>
                <c:lvl>
                  <c:pt idx="0">
                    <c:v>Atharv</c:v>
                  </c:pt>
                  <c:pt idx="1">
                    <c:v>Neha</c:v>
                  </c:pt>
                  <c:pt idx="2">
                    <c:v>Shanaya</c:v>
                  </c:pt>
                  <c:pt idx="3">
                    <c:v>Diya</c:v>
                  </c:pt>
                  <c:pt idx="4">
                    <c:v>Ahana</c:v>
                  </c:pt>
                </c:lvl>
                <c:lvl>
                  <c:pt idx="0">
                    <c:v>1</c:v>
                  </c:pt>
                  <c:pt idx="1">
                    <c:v>2</c:v>
                  </c:pt>
                  <c:pt idx="2">
                    <c:v>3</c:v>
                  </c:pt>
                  <c:pt idx="3">
                    <c:v>4</c:v>
                  </c:pt>
                  <c:pt idx="4">
                    <c:v>5</c:v>
                  </c:pt>
                </c:lvl>
              </c:multiLvlStrCache>
            </c:multiLvlStrRef>
          </c:cat>
          <c:val>
            <c:numRef>
              <c:f>'pivot data'!$B$48:$B$63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0-D6BA-432F-91F5-81BFE561A264}"/>
            </c:ext>
          </c:extLst>
        </c:ser>
        <c:ser>
          <c:idx val="1"/>
          <c:order val="1"/>
          <c:tx>
            <c:strRef>
              <c:f>'pivot data'!$C$47</c:f>
              <c:strCache>
                <c:ptCount val="1"/>
                <c:pt idx="0">
                  <c:v>Sum of Percentsge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data'!$A$48:$A$63</c:f>
              <c:multiLvlStrCache>
                <c:ptCount val="5"/>
                <c:lvl>
                  <c:pt idx="0">
                    <c:v>A+</c:v>
                  </c:pt>
                  <c:pt idx="1">
                    <c:v>A+</c:v>
                  </c:pt>
                  <c:pt idx="2">
                    <c:v>A</c:v>
                  </c:pt>
                  <c:pt idx="3">
                    <c:v>A</c:v>
                  </c:pt>
                  <c:pt idx="4">
                    <c:v>A</c:v>
                  </c:pt>
                </c:lvl>
                <c:lvl>
                  <c:pt idx="0">
                    <c:v>Atharv</c:v>
                  </c:pt>
                  <c:pt idx="1">
                    <c:v>Neha</c:v>
                  </c:pt>
                  <c:pt idx="2">
                    <c:v>Shanaya</c:v>
                  </c:pt>
                  <c:pt idx="3">
                    <c:v>Diya</c:v>
                  </c:pt>
                  <c:pt idx="4">
                    <c:v>Ahana</c:v>
                  </c:pt>
                </c:lvl>
                <c:lvl>
                  <c:pt idx="0">
                    <c:v>1</c:v>
                  </c:pt>
                  <c:pt idx="1">
                    <c:v>2</c:v>
                  </c:pt>
                  <c:pt idx="2">
                    <c:v>3</c:v>
                  </c:pt>
                  <c:pt idx="3">
                    <c:v>4</c:v>
                  </c:pt>
                  <c:pt idx="4">
                    <c:v>5</c:v>
                  </c:pt>
                </c:lvl>
              </c:multiLvlStrCache>
            </c:multiLvlStrRef>
          </c:cat>
          <c:val>
            <c:numRef>
              <c:f>'pivot data'!$C$48:$C$63</c:f>
              <c:numCache>
                <c:formatCode>General</c:formatCode>
                <c:ptCount val="5"/>
                <c:pt idx="0">
                  <c:v>87.4</c:v>
                </c:pt>
                <c:pt idx="1">
                  <c:v>86.8</c:v>
                </c:pt>
                <c:pt idx="2">
                  <c:v>77.599999999999994</c:v>
                </c:pt>
                <c:pt idx="3">
                  <c:v>74.8</c:v>
                </c:pt>
                <c:pt idx="4">
                  <c:v>71.599999999999994</c:v>
                </c:pt>
              </c:numCache>
            </c:numRef>
          </c:val>
          <c:extLst>
            <c:ext xmlns:c16="http://schemas.microsoft.com/office/drawing/2014/chart" uri="{C3380CC4-5D6E-409C-BE32-E72D297353CC}">
              <c16:uniqueId val="{00000002-48ED-4EF7-9D5E-E5E39BC70B29}"/>
            </c:ext>
          </c:extLst>
        </c:ser>
        <c:dLbls>
          <c:dLblPos val="outEnd"/>
          <c:showLegendKey val="0"/>
          <c:showVal val="1"/>
          <c:showCatName val="0"/>
          <c:showSerName val="0"/>
          <c:showPercent val="0"/>
          <c:showBubbleSize val="0"/>
        </c:dLbls>
        <c:gapWidth val="219"/>
        <c:overlap val="-27"/>
        <c:axId val="197563808"/>
        <c:axId val="197556128"/>
      </c:barChart>
      <c:catAx>
        <c:axId val="197563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56128"/>
        <c:crosses val="autoZero"/>
        <c:auto val="1"/>
        <c:lblAlgn val="ctr"/>
        <c:lblOffset val="100"/>
        <c:noMultiLvlLbl val="0"/>
      </c:catAx>
      <c:valAx>
        <c:axId val="1975561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638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320040</xdr:colOff>
      <xdr:row>2</xdr:row>
      <xdr:rowOff>129540</xdr:rowOff>
    </xdr:from>
    <xdr:to>
      <xdr:col>12</xdr:col>
      <xdr:colOff>60960</xdr:colOff>
      <xdr:row>17</xdr:row>
      <xdr:rowOff>129540</xdr:rowOff>
    </xdr:to>
    <xdr:graphicFrame macro="">
      <xdr:nvGraphicFramePr>
        <xdr:cNvPr id="3" name="Chart 2">
          <a:extLst>
            <a:ext uri="{FF2B5EF4-FFF2-40B4-BE49-F238E27FC236}">
              <a16:creationId xmlns:a16="http://schemas.microsoft.com/office/drawing/2014/main" id="{90C79F7A-1C17-1481-805D-36F4B054D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xdr:colOff>
      <xdr:row>31</xdr:row>
      <xdr:rowOff>129540</xdr:rowOff>
    </xdr:from>
    <xdr:to>
      <xdr:col>6</xdr:col>
      <xdr:colOff>342900</xdr:colOff>
      <xdr:row>41</xdr:row>
      <xdr:rowOff>114300</xdr:rowOff>
    </xdr:to>
    <xdr:graphicFrame macro="">
      <xdr:nvGraphicFramePr>
        <xdr:cNvPr id="4" name="Chart 3">
          <a:extLst>
            <a:ext uri="{FF2B5EF4-FFF2-40B4-BE49-F238E27FC236}">
              <a16:creationId xmlns:a16="http://schemas.microsoft.com/office/drawing/2014/main" id="{D4B67782-07A0-69A7-4869-9B4619DA5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xdr:colOff>
      <xdr:row>32</xdr:row>
      <xdr:rowOff>7620</xdr:rowOff>
    </xdr:from>
    <xdr:to>
      <xdr:col>18</xdr:col>
      <xdr:colOff>190500</xdr:colOff>
      <xdr:row>43</xdr:row>
      <xdr:rowOff>15240</xdr:rowOff>
    </xdr:to>
    <xdr:graphicFrame macro="">
      <xdr:nvGraphicFramePr>
        <xdr:cNvPr id="5" name="Chart 4">
          <a:extLst>
            <a:ext uri="{FF2B5EF4-FFF2-40B4-BE49-F238E27FC236}">
              <a16:creationId xmlns:a16="http://schemas.microsoft.com/office/drawing/2014/main" id="{FB4ADCE1-3539-9159-8E00-EB92CB100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22860</xdr:colOff>
      <xdr:row>53</xdr:row>
      <xdr:rowOff>160020</xdr:rowOff>
    </xdr:from>
    <xdr:to>
      <xdr:col>11</xdr:col>
      <xdr:colOff>312420</xdr:colOff>
      <xdr:row>65</xdr:row>
      <xdr:rowOff>30480</xdr:rowOff>
    </xdr:to>
    <xdr:graphicFrame macro="">
      <xdr:nvGraphicFramePr>
        <xdr:cNvPr id="2" name="Chart 1">
          <a:extLst>
            <a:ext uri="{FF2B5EF4-FFF2-40B4-BE49-F238E27FC236}">
              <a16:creationId xmlns:a16="http://schemas.microsoft.com/office/drawing/2014/main" id="{92165ECF-FA77-D430-6ADC-51F568950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541200</xdr:colOff>
      <xdr:row>42</xdr:row>
      <xdr:rowOff>72052</xdr:rowOff>
    </xdr:from>
    <xdr:to>
      <xdr:col>7</xdr:col>
      <xdr:colOff>1187698</xdr:colOff>
      <xdr:row>56</xdr:row>
      <xdr:rowOff>11093</xdr:rowOff>
    </xdr:to>
    <xdr:graphicFrame macro="">
      <xdr:nvGraphicFramePr>
        <xdr:cNvPr id="6" name="Chart 5">
          <a:extLst>
            <a:ext uri="{FF2B5EF4-FFF2-40B4-BE49-F238E27FC236}">
              <a16:creationId xmlns:a16="http://schemas.microsoft.com/office/drawing/2014/main" id="{D562B56D-4388-62D9-09E9-CCAA6BA4D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60274</xdr:colOff>
      <xdr:row>88</xdr:row>
      <xdr:rowOff>62417</xdr:rowOff>
    </xdr:from>
    <xdr:to>
      <xdr:col>1</xdr:col>
      <xdr:colOff>1294423</xdr:colOff>
      <xdr:row>92</xdr:row>
      <xdr:rowOff>6526</xdr:rowOff>
    </xdr:to>
    <mc:AlternateContent xmlns:mc="http://schemas.openxmlformats.org/markup-compatibility/2006" xmlns:a14="http://schemas.microsoft.com/office/drawing/2010/main">
      <mc:Choice Requires="a14">
        <xdr:graphicFrame macro="">
          <xdr:nvGraphicFramePr>
            <xdr:cNvPr id="7" name="Class">
              <a:extLst>
                <a:ext uri="{FF2B5EF4-FFF2-40B4-BE49-F238E27FC236}">
                  <a16:creationId xmlns:a16="http://schemas.microsoft.com/office/drawing/2014/main" id="{7816D257-6742-F63B-7859-6CE9120B9E0B}"/>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942139" y="15953114"/>
              <a:ext cx="1223995" cy="699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317729</xdr:colOff>
      <xdr:row>88</xdr:row>
      <xdr:rowOff>63016</xdr:rowOff>
    </xdr:from>
    <xdr:to>
      <xdr:col>3</xdr:col>
      <xdr:colOff>553677</xdr:colOff>
      <xdr:row>91</xdr:row>
      <xdr:rowOff>162778</xdr:rowOff>
    </xdr:to>
    <mc:AlternateContent xmlns:mc="http://schemas.openxmlformats.org/markup-compatibility/2006" xmlns:a14="http://schemas.microsoft.com/office/drawing/2010/main">
      <mc:Choice Requires="a14">
        <xdr:graphicFrame macro="">
          <xdr:nvGraphicFramePr>
            <xdr:cNvPr id="8" name="Section">
              <a:extLst>
                <a:ext uri="{FF2B5EF4-FFF2-40B4-BE49-F238E27FC236}">
                  <a16:creationId xmlns:a16="http://schemas.microsoft.com/office/drawing/2014/main" id="{7ACACF55-8153-9709-06D8-29A6062E88D1}"/>
                </a:ext>
              </a:extLst>
            </xdr:cNvPr>
            <xdr:cNvGraphicFramePr/>
          </xdr:nvGraphicFramePr>
          <xdr:xfrm>
            <a:off x="0" y="0"/>
            <a:ext cx="0" cy="0"/>
          </xdr:xfrm>
          <a:graphic>
            <a:graphicData uri="http://schemas.microsoft.com/office/drawing/2010/slicer">
              <sle:slicer xmlns:sle="http://schemas.microsoft.com/office/drawing/2010/slicer" name="Section"/>
            </a:graphicData>
          </a:graphic>
        </xdr:graphicFrame>
      </mc:Choice>
      <mc:Fallback xmlns="">
        <xdr:sp macro="" textlink="">
          <xdr:nvSpPr>
            <xdr:cNvPr id="0" name=""/>
            <xdr:cNvSpPr>
              <a:spLocks noTextEdit="1"/>
            </xdr:cNvSpPr>
          </xdr:nvSpPr>
          <xdr:spPr>
            <a:xfrm>
              <a:off x="2586605" y="15953713"/>
              <a:ext cx="1856968" cy="664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30480</xdr:rowOff>
    </xdr:from>
    <xdr:to>
      <xdr:col>23</xdr:col>
      <xdr:colOff>22860</xdr:colOff>
      <xdr:row>3</xdr:row>
      <xdr:rowOff>114300</xdr:rowOff>
    </xdr:to>
    <xdr:sp macro="" textlink="">
      <xdr:nvSpPr>
        <xdr:cNvPr id="2" name="Rectangle 1">
          <a:extLst>
            <a:ext uri="{FF2B5EF4-FFF2-40B4-BE49-F238E27FC236}">
              <a16:creationId xmlns:a16="http://schemas.microsoft.com/office/drawing/2014/main" id="{8F1DA733-1FB3-BBFD-E821-CF2521C1A9A8}"/>
            </a:ext>
          </a:extLst>
        </xdr:cNvPr>
        <xdr:cNvSpPr/>
      </xdr:nvSpPr>
      <xdr:spPr>
        <a:xfrm>
          <a:off x="15240" y="30480"/>
          <a:ext cx="14163235" cy="61135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Arial Black" panose="020B0A04020102020204" pitchFamily="34" charset="0"/>
            </a:rPr>
            <a:t>STUDENT</a:t>
          </a:r>
          <a:r>
            <a:rPr lang="en-IN" sz="2000" b="1" baseline="0">
              <a:latin typeface="Arial Black" panose="020B0A04020102020204" pitchFamily="34" charset="0"/>
            </a:rPr>
            <a:t> RESULT DASHBOARD</a:t>
          </a:r>
          <a:endParaRPr lang="en-IN" sz="2000" b="1">
            <a:latin typeface="Arial Black" panose="020B0A04020102020204" pitchFamily="34" charset="0"/>
          </a:endParaRPr>
        </a:p>
      </xdr:txBody>
    </xdr:sp>
    <xdr:clientData/>
  </xdr:twoCellAnchor>
  <xdr:twoCellAnchor>
    <xdr:from>
      <xdr:col>2</xdr:col>
      <xdr:colOff>555692</xdr:colOff>
      <xdr:row>3</xdr:row>
      <xdr:rowOff>158450</xdr:rowOff>
    </xdr:from>
    <xdr:to>
      <xdr:col>6</xdr:col>
      <xdr:colOff>212792</xdr:colOff>
      <xdr:row>9</xdr:row>
      <xdr:rowOff>47774</xdr:rowOff>
    </xdr:to>
    <xdr:sp macro="" textlink="">
      <xdr:nvSpPr>
        <xdr:cNvPr id="3" name="Rectangle: Rounded Corners 2">
          <a:extLst>
            <a:ext uri="{FF2B5EF4-FFF2-40B4-BE49-F238E27FC236}">
              <a16:creationId xmlns:a16="http://schemas.microsoft.com/office/drawing/2014/main" id="{1738059B-4E20-F189-ABE8-39B529BDE691}"/>
            </a:ext>
          </a:extLst>
        </xdr:cNvPr>
        <xdr:cNvSpPr/>
      </xdr:nvSpPr>
      <xdr:spPr>
        <a:xfrm>
          <a:off x="1778067" y="706138"/>
          <a:ext cx="2101850" cy="984699"/>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6</xdr:col>
      <xdr:colOff>275908</xdr:colOff>
      <xdr:row>3</xdr:row>
      <xdr:rowOff>158449</xdr:rowOff>
    </xdr:from>
    <xdr:to>
      <xdr:col>9</xdr:col>
      <xdr:colOff>542608</xdr:colOff>
      <xdr:row>9</xdr:row>
      <xdr:rowOff>79375</xdr:rowOff>
    </xdr:to>
    <xdr:sp macro="" textlink="">
      <xdr:nvSpPr>
        <xdr:cNvPr id="4" name="Rectangle: Rounded Corners 3">
          <a:extLst>
            <a:ext uri="{FF2B5EF4-FFF2-40B4-BE49-F238E27FC236}">
              <a16:creationId xmlns:a16="http://schemas.microsoft.com/office/drawing/2014/main" id="{916463DA-83F6-0F18-2ACE-E0BEC0EDE3A9}"/>
            </a:ext>
          </a:extLst>
        </xdr:cNvPr>
        <xdr:cNvSpPr/>
      </xdr:nvSpPr>
      <xdr:spPr>
        <a:xfrm>
          <a:off x="3943033" y="706137"/>
          <a:ext cx="2100263" cy="1016301"/>
        </a:xfrm>
        <a:prstGeom prst="roundRect">
          <a:avLst/>
        </a:prstGeom>
        <a:solidFill>
          <a:sysClr val="window" lastClr="FFFFFF"/>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39688</xdr:colOff>
      <xdr:row>3</xdr:row>
      <xdr:rowOff>161636</xdr:rowOff>
    </xdr:from>
    <xdr:to>
      <xdr:col>13</xdr:col>
      <xdr:colOff>306388</xdr:colOff>
      <xdr:row>9</xdr:row>
      <xdr:rowOff>86563</xdr:rowOff>
    </xdr:to>
    <xdr:sp macro="" textlink="">
      <xdr:nvSpPr>
        <xdr:cNvPr id="5" name="Rectangle: Rounded Corners 4">
          <a:extLst>
            <a:ext uri="{FF2B5EF4-FFF2-40B4-BE49-F238E27FC236}">
              <a16:creationId xmlns:a16="http://schemas.microsoft.com/office/drawing/2014/main" id="{69D08F74-36F8-4F1D-6309-74F485EE1C69}"/>
            </a:ext>
          </a:extLst>
        </xdr:cNvPr>
        <xdr:cNvSpPr/>
      </xdr:nvSpPr>
      <xdr:spPr>
        <a:xfrm>
          <a:off x="6120294" y="715818"/>
          <a:ext cx="2090882" cy="1033290"/>
        </a:xfrm>
        <a:prstGeom prst="roundRect">
          <a:avLst/>
        </a:prstGeom>
        <a:solidFill>
          <a:sysClr val="window" lastClr="FFFFFF"/>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389573</xdr:colOff>
      <xdr:row>3</xdr:row>
      <xdr:rowOff>161814</xdr:rowOff>
    </xdr:from>
    <xdr:to>
      <xdr:col>17</xdr:col>
      <xdr:colOff>46673</xdr:colOff>
      <xdr:row>9</xdr:row>
      <xdr:rowOff>95250</xdr:rowOff>
    </xdr:to>
    <xdr:sp macro="" textlink="">
      <xdr:nvSpPr>
        <xdr:cNvPr id="6" name="Rectangle: Rounded Corners 5">
          <a:extLst>
            <a:ext uri="{FF2B5EF4-FFF2-40B4-BE49-F238E27FC236}">
              <a16:creationId xmlns:a16="http://schemas.microsoft.com/office/drawing/2014/main" id="{7FAFA41C-3435-46A5-F370-43964082C26A}"/>
            </a:ext>
          </a:extLst>
        </xdr:cNvPr>
        <xdr:cNvSpPr/>
      </xdr:nvSpPr>
      <xdr:spPr>
        <a:xfrm>
          <a:off x="8306724" y="709042"/>
          <a:ext cx="2093146" cy="1027891"/>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413068</xdr:colOff>
      <xdr:row>4</xdr:row>
      <xdr:rowOff>79375</xdr:rowOff>
    </xdr:from>
    <xdr:to>
      <xdr:col>6</xdr:col>
      <xdr:colOff>39688</xdr:colOff>
      <xdr:row>5</xdr:row>
      <xdr:rowOff>86994</xdr:rowOff>
    </xdr:to>
    <xdr:sp macro="" textlink="">
      <xdr:nvSpPr>
        <xdr:cNvPr id="8" name="TextBox 7">
          <a:extLst>
            <a:ext uri="{FF2B5EF4-FFF2-40B4-BE49-F238E27FC236}">
              <a16:creationId xmlns:a16="http://schemas.microsoft.com/office/drawing/2014/main" id="{68A33EA0-1FFC-EBED-A911-89FDF95DC4E2}"/>
            </a:ext>
          </a:extLst>
        </xdr:cNvPr>
        <xdr:cNvSpPr txBox="1"/>
      </xdr:nvSpPr>
      <xdr:spPr>
        <a:xfrm>
          <a:off x="2246631" y="809625"/>
          <a:ext cx="1460182" cy="1901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1"/>
            <a:t>Total</a:t>
          </a:r>
          <a:r>
            <a:rPr lang="en-IN" sz="1600" b="1" i="1" baseline="0"/>
            <a:t> Student</a:t>
          </a:r>
          <a:endParaRPr lang="en-IN" sz="1600" b="1" i="1"/>
        </a:p>
      </xdr:txBody>
    </xdr:sp>
    <xdr:clientData/>
  </xdr:twoCellAnchor>
  <xdr:twoCellAnchor>
    <xdr:from>
      <xdr:col>4</xdr:col>
      <xdr:colOff>131128</xdr:colOff>
      <xdr:row>6</xdr:row>
      <xdr:rowOff>11112</xdr:rowOff>
    </xdr:from>
    <xdr:to>
      <xdr:col>5</xdr:col>
      <xdr:colOff>352108</xdr:colOff>
      <xdr:row>7</xdr:row>
      <xdr:rowOff>125094</xdr:rowOff>
    </xdr:to>
    <xdr:sp macro="" textlink="'pivot data'!B83">
      <xdr:nvSpPr>
        <xdr:cNvPr id="14" name="TextBox 13">
          <a:extLst>
            <a:ext uri="{FF2B5EF4-FFF2-40B4-BE49-F238E27FC236}">
              <a16:creationId xmlns:a16="http://schemas.microsoft.com/office/drawing/2014/main" id="{A072DF46-E439-07EF-285C-86AC00066284}"/>
            </a:ext>
          </a:extLst>
        </xdr:cNvPr>
        <xdr:cNvSpPr txBox="1"/>
      </xdr:nvSpPr>
      <xdr:spPr>
        <a:xfrm>
          <a:off x="2575878" y="1106487"/>
          <a:ext cx="832168" cy="2965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092CE4-28E2-4AFC-9BE7-D2C39A8E44B9}" type="TxLink">
            <a:rPr lang="en-US" sz="2400" b="1" i="0" u="none" strike="noStrike">
              <a:solidFill>
                <a:srgbClr val="006100"/>
              </a:solidFill>
              <a:latin typeface="Calibri"/>
              <a:ea typeface="Calibri"/>
              <a:cs typeface="Calibri"/>
            </a:rPr>
            <a:pPr algn="ctr"/>
            <a:t>30</a:t>
          </a:fld>
          <a:endParaRPr lang="en-IN" sz="2400" b="1"/>
        </a:p>
      </xdr:txBody>
    </xdr:sp>
    <xdr:clientData/>
  </xdr:twoCellAnchor>
  <xdr:twoCellAnchor>
    <xdr:from>
      <xdr:col>7</xdr:col>
      <xdr:colOff>15959</xdr:colOff>
      <xdr:row>4</xdr:row>
      <xdr:rowOff>11831</xdr:rowOff>
    </xdr:from>
    <xdr:to>
      <xdr:col>9</xdr:col>
      <xdr:colOff>436647</xdr:colOff>
      <xdr:row>5</xdr:row>
      <xdr:rowOff>115317</xdr:rowOff>
    </xdr:to>
    <xdr:sp macro="" textlink="">
      <xdr:nvSpPr>
        <xdr:cNvPr id="13" name="TextBox 12">
          <a:extLst>
            <a:ext uri="{FF2B5EF4-FFF2-40B4-BE49-F238E27FC236}">
              <a16:creationId xmlns:a16="http://schemas.microsoft.com/office/drawing/2014/main" id="{6F541B20-B61D-4E44-9B5A-E1FD39443939}"/>
            </a:ext>
          </a:extLst>
        </xdr:cNvPr>
        <xdr:cNvSpPr txBox="1"/>
      </xdr:nvSpPr>
      <xdr:spPr>
        <a:xfrm>
          <a:off x="4294272" y="742081"/>
          <a:ext cx="1643063" cy="2860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1"/>
            <a:t>Total</a:t>
          </a:r>
          <a:r>
            <a:rPr lang="en-IN" sz="1600" b="1" i="1" baseline="0"/>
            <a:t> Average %</a:t>
          </a:r>
          <a:endParaRPr lang="en-IN" sz="1600" b="1" i="1"/>
        </a:p>
      </xdr:txBody>
    </xdr:sp>
    <xdr:clientData/>
  </xdr:twoCellAnchor>
  <xdr:twoCellAnchor>
    <xdr:from>
      <xdr:col>3</xdr:col>
      <xdr:colOff>99100</xdr:colOff>
      <xdr:row>5</xdr:row>
      <xdr:rowOff>61096</xdr:rowOff>
    </xdr:from>
    <xdr:to>
      <xdr:col>3</xdr:col>
      <xdr:colOff>580070</xdr:colOff>
      <xdr:row>8</xdr:row>
      <xdr:rowOff>3299</xdr:rowOff>
    </xdr:to>
    <xdr:sp macro="" textlink="">
      <xdr:nvSpPr>
        <xdr:cNvPr id="31" name="Oval 30">
          <a:extLst>
            <a:ext uri="{FF2B5EF4-FFF2-40B4-BE49-F238E27FC236}">
              <a16:creationId xmlns:a16="http://schemas.microsoft.com/office/drawing/2014/main" id="{C8CF5129-BA87-A5B8-4BE7-E550D6EA34A0}"/>
            </a:ext>
          </a:extLst>
        </xdr:cNvPr>
        <xdr:cNvSpPr/>
      </xdr:nvSpPr>
      <xdr:spPr>
        <a:xfrm>
          <a:off x="1932663" y="973909"/>
          <a:ext cx="480970" cy="489890"/>
        </a:xfrm>
        <a:prstGeom prst="ellipse">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387943</xdr:colOff>
      <xdr:row>5</xdr:row>
      <xdr:rowOff>59183</xdr:rowOff>
    </xdr:from>
    <xdr:to>
      <xdr:col>7</xdr:col>
      <xdr:colOff>258706</xdr:colOff>
      <xdr:row>7</xdr:row>
      <xdr:rowOff>181514</xdr:rowOff>
    </xdr:to>
    <xdr:sp macro="" textlink="">
      <xdr:nvSpPr>
        <xdr:cNvPr id="32" name="Oval 31">
          <a:extLst>
            <a:ext uri="{FF2B5EF4-FFF2-40B4-BE49-F238E27FC236}">
              <a16:creationId xmlns:a16="http://schemas.microsoft.com/office/drawing/2014/main" id="{B807E817-9FAC-409E-A74A-7FCE291E8A35}"/>
            </a:ext>
          </a:extLst>
        </xdr:cNvPr>
        <xdr:cNvSpPr/>
      </xdr:nvSpPr>
      <xdr:spPr>
        <a:xfrm>
          <a:off x="4055068" y="971996"/>
          <a:ext cx="481951" cy="487456"/>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193625</xdr:colOff>
      <xdr:row>5</xdr:row>
      <xdr:rowOff>81623</xdr:rowOff>
    </xdr:from>
    <xdr:to>
      <xdr:col>11</xdr:col>
      <xdr:colOff>64388</xdr:colOff>
      <xdr:row>8</xdr:row>
      <xdr:rowOff>18547</xdr:rowOff>
    </xdr:to>
    <xdr:sp macro="" textlink="">
      <xdr:nvSpPr>
        <xdr:cNvPr id="33" name="Oval 32">
          <a:extLst>
            <a:ext uri="{FF2B5EF4-FFF2-40B4-BE49-F238E27FC236}">
              <a16:creationId xmlns:a16="http://schemas.microsoft.com/office/drawing/2014/main" id="{0ADB439D-C1CF-4F29-8D93-1AA399497317}"/>
            </a:ext>
          </a:extLst>
        </xdr:cNvPr>
        <xdr:cNvSpPr/>
      </xdr:nvSpPr>
      <xdr:spPr>
        <a:xfrm>
          <a:off x="6305500" y="994436"/>
          <a:ext cx="481951" cy="484611"/>
        </a:xfrm>
        <a:prstGeom prst="ellipse">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160129</xdr:colOff>
      <xdr:row>4</xdr:row>
      <xdr:rowOff>11430</xdr:rowOff>
    </xdr:from>
    <xdr:to>
      <xdr:col>16</xdr:col>
      <xdr:colOff>563563</xdr:colOff>
      <xdr:row>5</xdr:row>
      <xdr:rowOff>95250</xdr:rowOff>
    </xdr:to>
    <xdr:sp macro="" textlink="">
      <xdr:nvSpPr>
        <xdr:cNvPr id="16" name="TextBox 15">
          <a:extLst>
            <a:ext uri="{FF2B5EF4-FFF2-40B4-BE49-F238E27FC236}">
              <a16:creationId xmlns:a16="http://schemas.microsoft.com/office/drawing/2014/main" id="{59A7FF24-D962-4E7A-9A7E-0ABCB2681BCB}"/>
            </a:ext>
          </a:extLst>
        </xdr:cNvPr>
        <xdr:cNvSpPr txBox="1"/>
      </xdr:nvSpPr>
      <xdr:spPr>
        <a:xfrm>
          <a:off x="8716754" y="741680"/>
          <a:ext cx="1625809" cy="2663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1"/>
            <a:t>Top</a:t>
          </a:r>
          <a:r>
            <a:rPr lang="en-IN" sz="1600" b="1" i="1" baseline="0"/>
            <a:t> Percentage</a:t>
          </a:r>
          <a:endParaRPr lang="en-IN" sz="1600" b="1" i="1"/>
        </a:p>
      </xdr:txBody>
    </xdr:sp>
    <xdr:clientData/>
  </xdr:twoCellAnchor>
  <xdr:twoCellAnchor>
    <xdr:from>
      <xdr:col>13</xdr:col>
      <xdr:colOff>527977</xdr:colOff>
      <xdr:row>5</xdr:row>
      <xdr:rowOff>62145</xdr:rowOff>
    </xdr:from>
    <xdr:to>
      <xdr:col>14</xdr:col>
      <xdr:colOff>398740</xdr:colOff>
      <xdr:row>8</xdr:row>
      <xdr:rowOff>1913</xdr:rowOff>
    </xdr:to>
    <xdr:sp macro="" textlink="">
      <xdr:nvSpPr>
        <xdr:cNvPr id="34" name="Oval 33">
          <a:extLst>
            <a:ext uri="{FF2B5EF4-FFF2-40B4-BE49-F238E27FC236}">
              <a16:creationId xmlns:a16="http://schemas.microsoft.com/office/drawing/2014/main" id="{D99FAF5A-6413-4510-9B07-321576A77EC8}"/>
            </a:ext>
          </a:extLst>
        </xdr:cNvPr>
        <xdr:cNvSpPr/>
      </xdr:nvSpPr>
      <xdr:spPr>
        <a:xfrm>
          <a:off x="8473415" y="974958"/>
          <a:ext cx="481950" cy="487455"/>
        </a:xfrm>
        <a:prstGeom prst="ellipse">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138748</xdr:colOff>
      <xdr:row>5</xdr:row>
      <xdr:rowOff>125094</xdr:rowOff>
    </xdr:from>
    <xdr:to>
      <xdr:col>3</xdr:col>
      <xdr:colOff>534748</xdr:colOff>
      <xdr:row>7</xdr:row>
      <xdr:rowOff>155334</xdr:rowOff>
    </xdr:to>
    <xdr:pic>
      <xdr:nvPicPr>
        <xdr:cNvPr id="10" name="Graphic 9" descr="Users with solid fill">
          <a:extLst>
            <a:ext uri="{FF2B5EF4-FFF2-40B4-BE49-F238E27FC236}">
              <a16:creationId xmlns:a16="http://schemas.microsoft.com/office/drawing/2014/main" id="{70C0D39A-BFD4-5B84-6178-03E2F283717A}"/>
            </a:ext>
          </a:extLst>
        </xdr:cNvPr>
        <xdr:cNvPicPr>
          <a:picLocks noChangeAspect="1"/>
        </xdr:cNvPicPr>
      </xdr:nvPicPr>
      <xdr:blipFill>
        <a:blip xmlns:r="http://schemas.openxmlformats.org/officeDocument/2006/relationships" r:embed="rId1">
          <a:alphaModFix/>
          <a:extLst>
            <a:ext uri="{96DAC541-7B7A-43D3-8B79-37D633B846F1}">
              <asvg:svgBlip xmlns:asvg="http://schemas.microsoft.com/office/drawing/2016/SVG/main" r:embed="rId2"/>
            </a:ext>
          </a:extLst>
        </a:blip>
        <a:stretch>
          <a:fillRect/>
        </a:stretch>
      </xdr:blipFill>
      <xdr:spPr>
        <a:xfrm>
          <a:off x="1972311" y="1037907"/>
          <a:ext cx="396000" cy="395365"/>
        </a:xfrm>
        <a:prstGeom prst="rect">
          <a:avLst/>
        </a:prstGeom>
      </xdr:spPr>
    </xdr:pic>
    <xdr:clientData/>
  </xdr:twoCellAnchor>
  <xdr:twoCellAnchor editAs="oneCell">
    <xdr:from>
      <xdr:col>6</xdr:col>
      <xdr:colOff>426151</xdr:colOff>
      <xdr:row>5</xdr:row>
      <xdr:rowOff>88433</xdr:rowOff>
    </xdr:from>
    <xdr:to>
      <xdr:col>7</xdr:col>
      <xdr:colOff>212551</xdr:colOff>
      <xdr:row>7</xdr:row>
      <xdr:rowOff>115510</xdr:rowOff>
    </xdr:to>
    <xdr:pic>
      <xdr:nvPicPr>
        <xdr:cNvPr id="12" name="Graphic 11" descr="Upward trend with solid fill">
          <a:extLst>
            <a:ext uri="{FF2B5EF4-FFF2-40B4-BE49-F238E27FC236}">
              <a16:creationId xmlns:a16="http://schemas.microsoft.com/office/drawing/2014/main" id="{ADE30980-03E7-AC80-C2BF-C6E6CDA3FDB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093276" y="1001246"/>
          <a:ext cx="397588" cy="392202"/>
        </a:xfrm>
        <a:prstGeom prst="rect">
          <a:avLst/>
        </a:prstGeom>
      </xdr:spPr>
    </xdr:pic>
    <xdr:clientData/>
  </xdr:twoCellAnchor>
  <xdr:twoCellAnchor>
    <xdr:from>
      <xdr:col>10</xdr:col>
      <xdr:colOff>371517</xdr:colOff>
      <xdr:row>4</xdr:row>
      <xdr:rowOff>13269</xdr:rowOff>
    </xdr:from>
    <xdr:to>
      <xdr:col>12</xdr:col>
      <xdr:colOff>607737</xdr:colOff>
      <xdr:row>5</xdr:row>
      <xdr:rowOff>20889</xdr:rowOff>
    </xdr:to>
    <xdr:sp macro="" textlink="">
      <xdr:nvSpPr>
        <xdr:cNvPr id="15" name="TextBox 14">
          <a:extLst>
            <a:ext uri="{FF2B5EF4-FFF2-40B4-BE49-F238E27FC236}">
              <a16:creationId xmlns:a16="http://schemas.microsoft.com/office/drawing/2014/main" id="{91B905E2-AAE4-451F-96F5-3C4C69838817}"/>
            </a:ext>
          </a:extLst>
        </xdr:cNvPr>
        <xdr:cNvSpPr txBox="1"/>
      </xdr:nvSpPr>
      <xdr:spPr>
        <a:xfrm>
          <a:off x="6483392" y="743519"/>
          <a:ext cx="1458595" cy="1901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1" baseline="0"/>
            <a:t>Pass Student</a:t>
          </a:r>
          <a:endParaRPr lang="en-IN" sz="1600" b="1" i="1"/>
        </a:p>
      </xdr:txBody>
    </xdr:sp>
    <xdr:clientData/>
  </xdr:twoCellAnchor>
  <xdr:twoCellAnchor>
    <xdr:from>
      <xdr:col>7</xdr:col>
      <xdr:colOff>283528</xdr:colOff>
      <xdr:row>5</xdr:row>
      <xdr:rowOff>170814</xdr:rowOff>
    </xdr:from>
    <xdr:to>
      <xdr:col>8</xdr:col>
      <xdr:colOff>504508</xdr:colOff>
      <xdr:row>7</xdr:row>
      <xdr:rowOff>102234</xdr:rowOff>
    </xdr:to>
    <xdr:sp macro="" textlink="'pivot data'!B84">
      <xdr:nvSpPr>
        <xdr:cNvPr id="17" name="TextBox 16">
          <a:extLst>
            <a:ext uri="{FF2B5EF4-FFF2-40B4-BE49-F238E27FC236}">
              <a16:creationId xmlns:a16="http://schemas.microsoft.com/office/drawing/2014/main" id="{54743524-0CC4-4304-9E7A-B8BBA4B9BAA1}"/>
            </a:ext>
          </a:extLst>
        </xdr:cNvPr>
        <xdr:cNvSpPr txBox="1"/>
      </xdr:nvSpPr>
      <xdr:spPr>
        <a:xfrm>
          <a:off x="4561841" y="1083627"/>
          <a:ext cx="832167" cy="2965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B52EFC-AD77-4B51-8E68-89DBFFE8A640}" type="TxLink">
            <a:rPr lang="en-US" sz="2000" b="1" i="0" u="none" strike="noStrike">
              <a:solidFill>
                <a:schemeClr val="accent1">
                  <a:lumMod val="75000"/>
                </a:schemeClr>
              </a:solidFill>
              <a:latin typeface="Calibri"/>
              <a:ea typeface="Calibri"/>
              <a:cs typeface="Calibri"/>
            </a:rPr>
            <a:pPr algn="ctr"/>
            <a:t>63.75</a:t>
          </a:fld>
          <a:endParaRPr lang="en-IN" sz="4400" b="1">
            <a:solidFill>
              <a:schemeClr val="accent1">
                <a:lumMod val="75000"/>
              </a:schemeClr>
            </a:solidFill>
          </a:endParaRPr>
        </a:p>
      </xdr:txBody>
    </xdr:sp>
    <xdr:clientData/>
  </xdr:twoCellAnchor>
  <xdr:twoCellAnchor>
    <xdr:from>
      <xdr:col>11</xdr:col>
      <xdr:colOff>176272</xdr:colOff>
      <xdr:row>5</xdr:row>
      <xdr:rowOff>168657</xdr:rowOff>
    </xdr:from>
    <xdr:to>
      <xdr:col>12</xdr:col>
      <xdr:colOff>181161</xdr:colOff>
      <xdr:row>7</xdr:row>
      <xdr:rowOff>103240</xdr:rowOff>
    </xdr:to>
    <xdr:sp macro="" textlink="'pivot data'!B85">
      <xdr:nvSpPr>
        <xdr:cNvPr id="18" name="TextBox 17">
          <a:extLst>
            <a:ext uri="{FF2B5EF4-FFF2-40B4-BE49-F238E27FC236}">
              <a16:creationId xmlns:a16="http://schemas.microsoft.com/office/drawing/2014/main" id="{5DB176AC-5DF0-460F-9D28-7393F899C4B0}"/>
            </a:ext>
          </a:extLst>
        </xdr:cNvPr>
        <xdr:cNvSpPr txBox="1"/>
      </xdr:nvSpPr>
      <xdr:spPr>
        <a:xfrm>
          <a:off x="6899335" y="1081470"/>
          <a:ext cx="616076" cy="2997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A47555-6372-4039-A8F8-B6B2608A1F67}" type="TxLink">
            <a:rPr lang="en-US" sz="2000" b="1" i="0" u="none" strike="noStrike">
              <a:solidFill>
                <a:srgbClr val="7030A0"/>
              </a:solidFill>
              <a:latin typeface="Calibri"/>
              <a:ea typeface="Calibri"/>
              <a:cs typeface="Calibri"/>
            </a:rPr>
            <a:pPr algn="ctr"/>
            <a:t>29</a:t>
          </a:fld>
          <a:endParaRPr lang="en-IN" sz="4400" b="1">
            <a:solidFill>
              <a:srgbClr val="7030A0"/>
            </a:solidFill>
          </a:endParaRPr>
        </a:p>
      </xdr:txBody>
    </xdr:sp>
    <xdr:clientData/>
  </xdr:twoCellAnchor>
  <xdr:twoCellAnchor>
    <xdr:from>
      <xdr:col>14</xdr:col>
      <xdr:colOff>489268</xdr:colOff>
      <xdr:row>5</xdr:row>
      <xdr:rowOff>138177</xdr:rowOff>
    </xdr:from>
    <xdr:to>
      <xdr:col>16</xdr:col>
      <xdr:colOff>100648</xdr:colOff>
      <xdr:row>7</xdr:row>
      <xdr:rowOff>69915</xdr:rowOff>
    </xdr:to>
    <xdr:sp macro="" textlink="'pivot data'!B86">
      <xdr:nvSpPr>
        <xdr:cNvPr id="19" name="TextBox 18">
          <a:extLst>
            <a:ext uri="{FF2B5EF4-FFF2-40B4-BE49-F238E27FC236}">
              <a16:creationId xmlns:a16="http://schemas.microsoft.com/office/drawing/2014/main" id="{5861A695-C147-4E61-94CB-46C38D728BED}"/>
            </a:ext>
          </a:extLst>
        </xdr:cNvPr>
        <xdr:cNvSpPr txBox="1"/>
      </xdr:nvSpPr>
      <xdr:spPr>
        <a:xfrm>
          <a:off x="9045893" y="1050990"/>
          <a:ext cx="833755" cy="2968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4EF9DF-04DE-4212-B250-3D748B21B502}" type="TxLink">
            <a:rPr lang="en-US" sz="2000" b="1" i="0" u="none" strike="noStrike">
              <a:solidFill>
                <a:schemeClr val="accent2">
                  <a:lumMod val="75000"/>
                </a:schemeClr>
              </a:solidFill>
              <a:latin typeface="Calibri"/>
              <a:ea typeface="Calibri"/>
              <a:cs typeface="Calibri"/>
            </a:rPr>
            <a:pPr algn="ctr"/>
            <a:t>87.4</a:t>
          </a:fld>
          <a:endParaRPr lang="en-IN" sz="7200" b="1">
            <a:solidFill>
              <a:schemeClr val="accent2">
                <a:lumMod val="75000"/>
              </a:schemeClr>
            </a:solidFill>
          </a:endParaRPr>
        </a:p>
      </xdr:txBody>
    </xdr:sp>
    <xdr:clientData/>
  </xdr:twoCellAnchor>
  <xdr:twoCellAnchor editAs="oneCell">
    <xdr:from>
      <xdr:col>13</xdr:col>
      <xdr:colOff>565468</xdr:colOff>
      <xdr:row>5</xdr:row>
      <xdr:rowOff>125237</xdr:rowOff>
    </xdr:from>
    <xdr:to>
      <xdr:col>14</xdr:col>
      <xdr:colOff>351868</xdr:colOff>
      <xdr:row>7</xdr:row>
      <xdr:rowOff>152314</xdr:rowOff>
    </xdr:to>
    <xdr:pic>
      <xdr:nvPicPr>
        <xdr:cNvPr id="21" name="Graphic 20" descr="Trophy with solid fill">
          <a:extLst>
            <a:ext uri="{FF2B5EF4-FFF2-40B4-BE49-F238E27FC236}">
              <a16:creationId xmlns:a16="http://schemas.microsoft.com/office/drawing/2014/main" id="{CCBB89F5-7C78-71A4-E03A-6529166D669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510906" y="1038050"/>
          <a:ext cx="397587" cy="392202"/>
        </a:xfrm>
        <a:prstGeom prst="rect">
          <a:avLst/>
        </a:prstGeom>
      </xdr:spPr>
    </xdr:pic>
    <xdr:clientData/>
  </xdr:twoCellAnchor>
  <xdr:twoCellAnchor editAs="oneCell">
    <xdr:from>
      <xdr:col>10</xdr:col>
      <xdr:colOff>233678</xdr:colOff>
      <xdr:row>5</xdr:row>
      <xdr:rowOff>106160</xdr:rowOff>
    </xdr:from>
    <xdr:to>
      <xdr:col>11</xdr:col>
      <xdr:colOff>18490</xdr:colOff>
      <xdr:row>7</xdr:row>
      <xdr:rowOff>136400</xdr:rowOff>
    </xdr:to>
    <xdr:pic>
      <xdr:nvPicPr>
        <xdr:cNvPr id="23" name="Graphic 22" descr="Graduation cap with solid fill">
          <a:extLst>
            <a:ext uri="{FF2B5EF4-FFF2-40B4-BE49-F238E27FC236}">
              <a16:creationId xmlns:a16="http://schemas.microsoft.com/office/drawing/2014/main" id="{19020944-FABB-E481-4D1D-3D65FDDB3E5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345553" y="1018973"/>
          <a:ext cx="396000" cy="395365"/>
        </a:xfrm>
        <a:prstGeom prst="rect">
          <a:avLst/>
        </a:prstGeom>
      </xdr:spPr>
    </xdr:pic>
    <xdr:clientData/>
  </xdr:twoCellAnchor>
  <xdr:twoCellAnchor>
    <xdr:from>
      <xdr:col>4</xdr:col>
      <xdr:colOff>121461</xdr:colOff>
      <xdr:row>8</xdr:row>
      <xdr:rowOff>42814</xdr:rowOff>
    </xdr:from>
    <xdr:to>
      <xdr:col>5</xdr:col>
      <xdr:colOff>265119</xdr:colOff>
      <xdr:row>8</xdr:row>
      <xdr:rowOff>51607</xdr:rowOff>
    </xdr:to>
    <xdr:cxnSp macro="">
      <xdr:nvCxnSpPr>
        <xdr:cNvPr id="36" name="Straight Connector 35">
          <a:extLst>
            <a:ext uri="{FF2B5EF4-FFF2-40B4-BE49-F238E27FC236}">
              <a16:creationId xmlns:a16="http://schemas.microsoft.com/office/drawing/2014/main" id="{BB0F7185-6FF8-D928-78CD-5E97F9A90B2A}"/>
            </a:ext>
          </a:extLst>
        </xdr:cNvPr>
        <xdr:cNvCxnSpPr/>
      </xdr:nvCxnSpPr>
      <xdr:spPr>
        <a:xfrm flipV="1">
          <a:off x="2566211" y="1503314"/>
          <a:ext cx="754846" cy="8793"/>
        </a:xfrm>
        <a:prstGeom prst="line">
          <a:avLst/>
        </a:prstGeom>
        <a:ln>
          <a:solidFill>
            <a:schemeClr val="accent6">
              <a:lumMod val="75000"/>
            </a:schemeClr>
          </a:solidFill>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7</xdr:col>
      <xdr:colOff>355165</xdr:colOff>
      <xdr:row>8</xdr:row>
      <xdr:rowOff>23844</xdr:rowOff>
    </xdr:from>
    <xdr:to>
      <xdr:col>8</xdr:col>
      <xdr:colOff>498822</xdr:colOff>
      <xdr:row>8</xdr:row>
      <xdr:rowOff>32637</xdr:rowOff>
    </xdr:to>
    <xdr:cxnSp macro="">
      <xdr:nvCxnSpPr>
        <xdr:cNvPr id="39" name="Straight Connector 38">
          <a:extLst>
            <a:ext uri="{FF2B5EF4-FFF2-40B4-BE49-F238E27FC236}">
              <a16:creationId xmlns:a16="http://schemas.microsoft.com/office/drawing/2014/main" id="{338C655B-9700-4BAE-A217-69E6025C341D}"/>
            </a:ext>
          </a:extLst>
        </xdr:cNvPr>
        <xdr:cNvCxnSpPr/>
      </xdr:nvCxnSpPr>
      <xdr:spPr>
        <a:xfrm flipV="1">
          <a:off x="4633478" y="1484344"/>
          <a:ext cx="754844" cy="8793"/>
        </a:xfrm>
        <a:prstGeom prst="line">
          <a:avLst/>
        </a:prstGeom>
        <a:ln>
          <a:solidFill>
            <a:schemeClr val="accent1">
              <a:lumMod val="75000"/>
            </a:schemeClr>
          </a:solidFill>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152842</xdr:colOff>
      <xdr:row>8</xdr:row>
      <xdr:rowOff>18560</xdr:rowOff>
    </xdr:from>
    <xdr:to>
      <xdr:col>12</xdr:col>
      <xdr:colOff>296499</xdr:colOff>
      <xdr:row>8</xdr:row>
      <xdr:rowOff>27353</xdr:rowOff>
    </xdr:to>
    <xdr:cxnSp macro="">
      <xdr:nvCxnSpPr>
        <xdr:cNvPr id="40" name="Straight Connector 39">
          <a:extLst>
            <a:ext uri="{FF2B5EF4-FFF2-40B4-BE49-F238E27FC236}">
              <a16:creationId xmlns:a16="http://schemas.microsoft.com/office/drawing/2014/main" id="{760C53CB-6487-4956-BC81-D3EFBCD5F4C4}"/>
            </a:ext>
          </a:extLst>
        </xdr:cNvPr>
        <xdr:cNvCxnSpPr/>
      </xdr:nvCxnSpPr>
      <xdr:spPr>
        <a:xfrm flipV="1">
          <a:off x="6875905" y="1479060"/>
          <a:ext cx="754844" cy="8793"/>
        </a:xfrm>
        <a:prstGeom prst="line">
          <a:avLst/>
        </a:prstGeom>
        <a:ln>
          <a:solidFill>
            <a:srgbClr val="7030A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14</xdr:col>
      <xdr:colOff>535274</xdr:colOff>
      <xdr:row>7</xdr:row>
      <xdr:rowOff>155288</xdr:rowOff>
    </xdr:from>
    <xdr:to>
      <xdr:col>16</xdr:col>
      <xdr:colOff>71623</xdr:colOff>
      <xdr:row>7</xdr:row>
      <xdr:rowOff>164081</xdr:rowOff>
    </xdr:to>
    <xdr:cxnSp macro="">
      <xdr:nvCxnSpPr>
        <xdr:cNvPr id="41" name="Straight Connector 40">
          <a:extLst>
            <a:ext uri="{FF2B5EF4-FFF2-40B4-BE49-F238E27FC236}">
              <a16:creationId xmlns:a16="http://schemas.microsoft.com/office/drawing/2014/main" id="{6A15F6A3-8275-4BD4-A6F7-F546655CCD5E}"/>
            </a:ext>
          </a:extLst>
        </xdr:cNvPr>
        <xdr:cNvCxnSpPr/>
      </xdr:nvCxnSpPr>
      <xdr:spPr>
        <a:xfrm flipV="1">
          <a:off x="9091899" y="1433226"/>
          <a:ext cx="758724" cy="8793"/>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17</xdr:col>
      <xdr:colOff>148527</xdr:colOff>
      <xdr:row>3</xdr:row>
      <xdr:rowOff>182266</xdr:rowOff>
    </xdr:from>
    <xdr:to>
      <xdr:col>23</xdr:col>
      <xdr:colOff>20595</xdr:colOff>
      <xdr:row>9</xdr:row>
      <xdr:rowOff>61785</xdr:rowOff>
    </xdr:to>
    <mc:AlternateContent xmlns:mc="http://schemas.openxmlformats.org/markup-compatibility/2006" xmlns:a14="http://schemas.microsoft.com/office/drawing/2010/main">
      <mc:Choice Requires="a14">
        <xdr:graphicFrame macro="">
          <xdr:nvGraphicFramePr>
            <xdr:cNvPr id="44" name="Section 1">
              <a:extLst>
                <a:ext uri="{FF2B5EF4-FFF2-40B4-BE49-F238E27FC236}">
                  <a16:creationId xmlns:a16="http://schemas.microsoft.com/office/drawing/2014/main" id="{D864126C-2D85-4CEC-8DE1-9A6875A4037D}"/>
                </a:ext>
              </a:extLst>
            </xdr:cNvPr>
            <xdr:cNvGraphicFramePr/>
          </xdr:nvGraphicFramePr>
          <xdr:xfrm>
            <a:off x="0" y="0"/>
            <a:ext cx="0" cy="0"/>
          </xdr:xfrm>
          <a:graphic>
            <a:graphicData uri="http://schemas.microsoft.com/office/drawing/2010/slicer">
              <sle:slicer xmlns:sle="http://schemas.microsoft.com/office/drawing/2010/slicer" name="Section 1"/>
            </a:graphicData>
          </a:graphic>
        </xdr:graphicFrame>
      </mc:Choice>
      <mc:Fallback xmlns="">
        <xdr:sp macro="" textlink="">
          <xdr:nvSpPr>
            <xdr:cNvPr id="0" name=""/>
            <xdr:cNvSpPr>
              <a:spLocks noTextEdit="1"/>
            </xdr:cNvSpPr>
          </xdr:nvSpPr>
          <xdr:spPr>
            <a:xfrm>
              <a:off x="10574917" y="739827"/>
              <a:ext cx="3551971" cy="994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49183</xdr:colOff>
      <xdr:row>3</xdr:row>
      <xdr:rowOff>169782</xdr:rowOff>
    </xdr:from>
    <xdr:to>
      <xdr:col>2</xdr:col>
      <xdr:colOff>482734</xdr:colOff>
      <xdr:row>9</xdr:row>
      <xdr:rowOff>58615</xdr:rowOff>
    </xdr:to>
    <mc:AlternateContent xmlns:mc="http://schemas.openxmlformats.org/markup-compatibility/2006" xmlns:a14="http://schemas.microsoft.com/office/drawing/2010/main">
      <mc:Choice Requires="a14">
        <xdr:graphicFrame macro="">
          <xdr:nvGraphicFramePr>
            <xdr:cNvPr id="45" name="Class 1">
              <a:extLst>
                <a:ext uri="{FF2B5EF4-FFF2-40B4-BE49-F238E27FC236}">
                  <a16:creationId xmlns:a16="http://schemas.microsoft.com/office/drawing/2014/main" id="{83F270FC-B149-47FD-8645-EC8E90CCC63B}"/>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mlns="">
        <xdr:sp macro="" textlink="">
          <xdr:nvSpPr>
            <xdr:cNvPr id="0" name=""/>
            <xdr:cNvSpPr>
              <a:spLocks noTextEdit="1"/>
            </xdr:cNvSpPr>
          </xdr:nvSpPr>
          <xdr:spPr>
            <a:xfrm>
              <a:off x="49183" y="727343"/>
              <a:ext cx="1660185" cy="1003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82378</xdr:rowOff>
    </xdr:from>
    <xdr:to>
      <xdr:col>12</xdr:col>
      <xdr:colOff>516581</xdr:colOff>
      <xdr:row>30</xdr:row>
      <xdr:rowOff>109912</xdr:rowOff>
    </xdr:to>
    <xdr:sp macro="" textlink="">
      <xdr:nvSpPr>
        <xdr:cNvPr id="50" name="Rectangle: Rounded Corners 49">
          <a:extLst>
            <a:ext uri="{FF2B5EF4-FFF2-40B4-BE49-F238E27FC236}">
              <a16:creationId xmlns:a16="http://schemas.microsoft.com/office/drawing/2014/main" id="{889F48F3-00A1-AA9A-16BC-61427A9051C6}"/>
            </a:ext>
          </a:extLst>
        </xdr:cNvPr>
        <xdr:cNvSpPr/>
      </xdr:nvSpPr>
      <xdr:spPr>
        <a:xfrm>
          <a:off x="0" y="1935892"/>
          <a:ext cx="7807067" cy="3734561"/>
        </a:xfrm>
        <a:prstGeom prst="roundRect">
          <a:avLst>
            <a:gd name="adj" fmla="val 6965"/>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just"/>
          <a:endParaRPr lang="en-IN" sz="1100"/>
        </a:p>
      </xdr:txBody>
    </xdr:sp>
    <xdr:clientData/>
  </xdr:twoCellAnchor>
  <xdr:twoCellAnchor>
    <xdr:from>
      <xdr:col>0</xdr:col>
      <xdr:colOff>0</xdr:colOff>
      <xdr:row>12</xdr:row>
      <xdr:rowOff>99391</xdr:rowOff>
    </xdr:from>
    <xdr:to>
      <xdr:col>12</xdr:col>
      <xdr:colOff>514864</xdr:colOff>
      <xdr:row>30</xdr:row>
      <xdr:rowOff>140804</xdr:rowOff>
    </xdr:to>
    <xdr:graphicFrame macro="">
      <xdr:nvGraphicFramePr>
        <xdr:cNvPr id="58" name="Chart 57">
          <a:extLst>
            <a:ext uri="{FF2B5EF4-FFF2-40B4-BE49-F238E27FC236}">
              <a16:creationId xmlns:a16="http://schemas.microsoft.com/office/drawing/2014/main" id="{9894B265-EE4F-4E71-8F0B-0D84EF113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289892</xdr:colOff>
      <xdr:row>10</xdr:row>
      <xdr:rowOff>115955</xdr:rowOff>
    </xdr:from>
    <xdr:to>
      <xdr:col>8</xdr:col>
      <xdr:colOff>256761</xdr:colOff>
      <xdr:row>12</xdr:row>
      <xdr:rowOff>57977</xdr:rowOff>
    </xdr:to>
    <xdr:sp macro="" textlink="">
      <xdr:nvSpPr>
        <xdr:cNvPr id="9" name="TextBox 8">
          <a:extLst>
            <a:ext uri="{FF2B5EF4-FFF2-40B4-BE49-F238E27FC236}">
              <a16:creationId xmlns:a16="http://schemas.microsoft.com/office/drawing/2014/main" id="{B8DA316D-DB43-4FCF-9DEB-5CAA30AE212D}"/>
            </a:ext>
          </a:extLst>
        </xdr:cNvPr>
        <xdr:cNvSpPr txBox="1"/>
      </xdr:nvSpPr>
      <xdr:spPr>
        <a:xfrm>
          <a:off x="2128631" y="1938129"/>
          <a:ext cx="3031434" cy="306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baseline="0">
              <a:solidFill>
                <a:schemeClr val="bg1"/>
              </a:solidFill>
            </a:rPr>
            <a:t> Student Performence %</a:t>
          </a:r>
          <a:endParaRPr lang="en-IN" sz="2000" b="1" i="1">
            <a:solidFill>
              <a:schemeClr val="bg1"/>
            </a:solidFill>
          </a:endParaRPr>
        </a:p>
      </xdr:txBody>
    </xdr:sp>
    <xdr:clientData/>
  </xdr:twoCellAnchor>
  <xdr:twoCellAnchor>
    <xdr:from>
      <xdr:col>12</xdr:col>
      <xdr:colOff>589856</xdr:colOff>
      <xdr:row>10</xdr:row>
      <xdr:rowOff>78797</xdr:rowOff>
    </xdr:from>
    <xdr:to>
      <xdr:col>17</xdr:col>
      <xdr:colOff>556726</xdr:colOff>
      <xdr:row>29</xdr:row>
      <xdr:rowOff>153341</xdr:rowOff>
    </xdr:to>
    <xdr:sp macro="" textlink="">
      <xdr:nvSpPr>
        <xdr:cNvPr id="11" name="Rectangle: Rounded Corners 10">
          <a:extLst>
            <a:ext uri="{FF2B5EF4-FFF2-40B4-BE49-F238E27FC236}">
              <a16:creationId xmlns:a16="http://schemas.microsoft.com/office/drawing/2014/main" id="{2D90F95A-7D4B-4116-94FB-43B6BC225F42}"/>
            </a:ext>
          </a:extLst>
        </xdr:cNvPr>
        <xdr:cNvSpPr/>
      </xdr:nvSpPr>
      <xdr:spPr>
        <a:xfrm>
          <a:off x="7880342" y="1932311"/>
          <a:ext cx="3004573" cy="3596219"/>
        </a:xfrm>
        <a:prstGeom prst="roundRect">
          <a:avLst>
            <a:gd name="adj" fmla="val 6965"/>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just"/>
          <a:endParaRPr lang="en-IN" sz="1100" b="1"/>
        </a:p>
      </xdr:txBody>
    </xdr:sp>
    <xdr:clientData/>
  </xdr:twoCellAnchor>
  <xdr:twoCellAnchor>
    <xdr:from>
      <xdr:col>18</xdr:col>
      <xdr:colOff>8282</xdr:colOff>
      <xdr:row>10</xdr:row>
      <xdr:rowOff>49696</xdr:rowOff>
    </xdr:from>
    <xdr:to>
      <xdr:col>23</xdr:col>
      <xdr:colOff>19878</xdr:colOff>
      <xdr:row>30</xdr:row>
      <xdr:rowOff>110986</xdr:rowOff>
    </xdr:to>
    <xdr:sp macro="" textlink="">
      <xdr:nvSpPr>
        <xdr:cNvPr id="20" name="Rectangle: Rounded Corners 19">
          <a:extLst>
            <a:ext uri="{FF2B5EF4-FFF2-40B4-BE49-F238E27FC236}">
              <a16:creationId xmlns:a16="http://schemas.microsoft.com/office/drawing/2014/main" id="{44EDB7C3-677D-405C-9212-6AE36CCC296F}"/>
            </a:ext>
          </a:extLst>
        </xdr:cNvPr>
        <xdr:cNvSpPr/>
      </xdr:nvSpPr>
      <xdr:spPr>
        <a:xfrm>
          <a:off x="11040717" y="1871870"/>
          <a:ext cx="3076161" cy="3705638"/>
        </a:xfrm>
        <a:prstGeom prst="roundRect">
          <a:avLst>
            <a:gd name="adj" fmla="val 6965"/>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just"/>
          <a:endParaRPr lang="en-IN" sz="1100"/>
        </a:p>
      </xdr:txBody>
    </xdr:sp>
    <xdr:clientData/>
  </xdr:twoCellAnchor>
  <xdr:twoCellAnchor>
    <xdr:from>
      <xdr:col>12</xdr:col>
      <xdr:colOff>584182</xdr:colOff>
      <xdr:row>12</xdr:row>
      <xdr:rowOff>78796</xdr:rowOff>
    </xdr:from>
    <xdr:to>
      <xdr:col>17</xdr:col>
      <xdr:colOff>570071</xdr:colOff>
      <xdr:row>30</xdr:row>
      <xdr:rowOff>120209</xdr:rowOff>
    </xdr:to>
    <xdr:graphicFrame macro="">
      <xdr:nvGraphicFramePr>
        <xdr:cNvPr id="22" name="Chart 21">
          <a:extLst>
            <a:ext uri="{FF2B5EF4-FFF2-40B4-BE49-F238E27FC236}">
              <a16:creationId xmlns:a16="http://schemas.microsoft.com/office/drawing/2014/main" id="{8217714F-AF83-4322-B843-2E88EFCB3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153619</xdr:colOff>
      <xdr:row>10</xdr:row>
      <xdr:rowOff>115033</xdr:rowOff>
    </xdr:from>
    <xdr:to>
      <xdr:col>18</xdr:col>
      <xdr:colOff>120488</xdr:colOff>
      <xdr:row>12</xdr:row>
      <xdr:rowOff>57055</xdr:rowOff>
    </xdr:to>
    <xdr:sp macro="" textlink="">
      <xdr:nvSpPr>
        <xdr:cNvPr id="24" name="TextBox 23">
          <a:extLst>
            <a:ext uri="{FF2B5EF4-FFF2-40B4-BE49-F238E27FC236}">
              <a16:creationId xmlns:a16="http://schemas.microsoft.com/office/drawing/2014/main" id="{309A6390-50A7-4F9B-AE0F-A33150949EE8}"/>
            </a:ext>
          </a:extLst>
        </xdr:cNvPr>
        <xdr:cNvSpPr txBox="1"/>
      </xdr:nvSpPr>
      <xdr:spPr>
        <a:xfrm>
          <a:off x="8051646" y="1968547"/>
          <a:ext cx="3004572" cy="312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a:r>
            <a:rPr lang="en-IN" sz="2000" b="1" i="0" baseline="0">
              <a:solidFill>
                <a:schemeClr val="bg1"/>
              </a:solidFill>
              <a:effectLst/>
              <a:latin typeface="+mn-lt"/>
              <a:ea typeface="+mn-ea"/>
              <a:cs typeface="+mn-cs"/>
            </a:rPr>
            <a:t>Pass vs Fail Distribution</a:t>
          </a:r>
          <a:endParaRPr lang="en-IN" sz="4000" b="1">
            <a:solidFill>
              <a:schemeClr val="bg1"/>
            </a:solidFill>
            <a:effectLst/>
          </a:endParaRPr>
        </a:p>
      </xdr:txBody>
    </xdr:sp>
    <xdr:clientData/>
  </xdr:twoCellAnchor>
  <xdr:twoCellAnchor>
    <xdr:from>
      <xdr:col>18</xdr:col>
      <xdr:colOff>-1</xdr:colOff>
      <xdr:row>12</xdr:row>
      <xdr:rowOff>74026</xdr:rowOff>
    </xdr:from>
    <xdr:to>
      <xdr:col>23</xdr:col>
      <xdr:colOff>59532</xdr:colOff>
      <xdr:row>30</xdr:row>
      <xdr:rowOff>130968</xdr:rowOff>
    </xdr:to>
    <xdr:graphicFrame macro="">
      <xdr:nvGraphicFramePr>
        <xdr:cNvPr id="26" name="Chart 25">
          <a:extLst>
            <a:ext uri="{FF2B5EF4-FFF2-40B4-BE49-F238E27FC236}">
              <a16:creationId xmlns:a16="http://schemas.microsoft.com/office/drawing/2014/main" id="{D96EE954-AC6E-46BE-A4E7-B8D857F91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110779</xdr:colOff>
      <xdr:row>10</xdr:row>
      <xdr:rowOff>85932</xdr:rowOff>
    </xdr:from>
    <xdr:to>
      <xdr:col>23</xdr:col>
      <xdr:colOff>77649</xdr:colOff>
      <xdr:row>12</xdr:row>
      <xdr:rowOff>27954</xdr:rowOff>
    </xdr:to>
    <xdr:sp macro="" textlink="">
      <xdr:nvSpPr>
        <xdr:cNvPr id="27" name="TextBox 26">
          <a:extLst>
            <a:ext uri="{FF2B5EF4-FFF2-40B4-BE49-F238E27FC236}">
              <a16:creationId xmlns:a16="http://schemas.microsoft.com/office/drawing/2014/main" id="{50F5EB2C-0166-4FCF-A823-73A3762D6AF4}"/>
            </a:ext>
          </a:extLst>
        </xdr:cNvPr>
        <xdr:cNvSpPr txBox="1"/>
      </xdr:nvSpPr>
      <xdr:spPr>
        <a:xfrm>
          <a:off x="11040717" y="1871870"/>
          <a:ext cx="3002963" cy="299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a:r>
            <a:rPr lang="en-IN" sz="2000" b="1" i="0" baseline="0">
              <a:solidFill>
                <a:schemeClr val="bg1"/>
              </a:solidFill>
              <a:effectLst/>
              <a:latin typeface="+mn-lt"/>
              <a:ea typeface="+mn-ea"/>
              <a:cs typeface="+mn-cs"/>
            </a:rPr>
            <a:t>Total Grade of student</a:t>
          </a:r>
          <a:endParaRPr lang="en-IN" sz="4000" b="1">
            <a:solidFill>
              <a:schemeClr val="bg1"/>
            </a:solidFill>
            <a:effectLst/>
          </a:endParaRPr>
        </a:p>
      </xdr:txBody>
    </xdr:sp>
    <xdr:clientData/>
  </xdr:twoCellAnchor>
  <xdr:twoCellAnchor>
    <xdr:from>
      <xdr:col>0</xdr:col>
      <xdr:colOff>31872</xdr:colOff>
      <xdr:row>31</xdr:row>
      <xdr:rowOff>55558</xdr:rowOff>
    </xdr:from>
    <xdr:to>
      <xdr:col>14</xdr:col>
      <xdr:colOff>38100</xdr:colOff>
      <xdr:row>45</xdr:row>
      <xdr:rowOff>143933</xdr:rowOff>
    </xdr:to>
    <xdr:sp macro="" textlink="">
      <xdr:nvSpPr>
        <xdr:cNvPr id="28" name="Rectangle: Rounded Corners 27">
          <a:extLst>
            <a:ext uri="{FF2B5EF4-FFF2-40B4-BE49-F238E27FC236}">
              <a16:creationId xmlns:a16="http://schemas.microsoft.com/office/drawing/2014/main" id="{A8A5676C-1438-4073-9C2E-6FF1FB5D176A}"/>
            </a:ext>
          </a:extLst>
        </xdr:cNvPr>
        <xdr:cNvSpPr/>
      </xdr:nvSpPr>
      <xdr:spPr>
        <a:xfrm>
          <a:off x="31872" y="5567358"/>
          <a:ext cx="8540628" cy="2602975"/>
        </a:xfrm>
        <a:prstGeom prst="roundRect">
          <a:avLst>
            <a:gd name="adj" fmla="val 6965"/>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just"/>
          <a:endParaRPr lang="en-IN" sz="1100"/>
        </a:p>
      </xdr:txBody>
    </xdr:sp>
    <xdr:clientData/>
  </xdr:twoCellAnchor>
  <xdr:twoCellAnchor>
    <xdr:from>
      <xdr:col>14</xdr:col>
      <xdr:colOff>128954</xdr:colOff>
      <xdr:row>31</xdr:row>
      <xdr:rowOff>35720</xdr:rowOff>
    </xdr:from>
    <xdr:to>
      <xdr:col>23</xdr:col>
      <xdr:colOff>95250</xdr:colOff>
      <xdr:row>47</xdr:row>
      <xdr:rowOff>166687</xdr:rowOff>
    </xdr:to>
    <xdr:sp macro="" textlink="">
      <xdr:nvSpPr>
        <xdr:cNvPr id="25" name="Rectangle: Rounded Corners 24">
          <a:extLst>
            <a:ext uri="{FF2B5EF4-FFF2-40B4-BE49-F238E27FC236}">
              <a16:creationId xmlns:a16="http://schemas.microsoft.com/office/drawing/2014/main" id="{57F95285-91B1-406E-88D8-2FD266901396}"/>
            </a:ext>
          </a:extLst>
        </xdr:cNvPr>
        <xdr:cNvSpPr/>
      </xdr:nvSpPr>
      <xdr:spPr>
        <a:xfrm>
          <a:off x="8663354" y="5850366"/>
          <a:ext cx="5452696" cy="3143798"/>
        </a:xfrm>
        <a:prstGeom prst="roundRect">
          <a:avLst>
            <a:gd name="adj" fmla="val 6965"/>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just"/>
          <a:endParaRPr lang="en-IN" sz="1100"/>
        </a:p>
      </xdr:txBody>
    </xdr:sp>
    <xdr:clientData/>
  </xdr:twoCellAnchor>
  <xdr:twoCellAnchor>
    <xdr:from>
      <xdr:col>14</xdr:col>
      <xdr:colOff>119063</xdr:colOff>
      <xdr:row>33</xdr:row>
      <xdr:rowOff>7817</xdr:rowOff>
    </xdr:from>
    <xdr:to>
      <xdr:col>23</xdr:col>
      <xdr:colOff>99461</xdr:colOff>
      <xdr:row>48</xdr:row>
      <xdr:rowOff>166688</xdr:rowOff>
    </xdr:to>
    <xdr:graphicFrame macro="">
      <xdr:nvGraphicFramePr>
        <xdr:cNvPr id="7" name="Chart 6">
          <a:extLst>
            <a:ext uri="{FF2B5EF4-FFF2-40B4-BE49-F238E27FC236}">
              <a16:creationId xmlns:a16="http://schemas.microsoft.com/office/drawing/2014/main" id="{9C6B721F-041B-47B3-9191-91A70A193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31388</xdr:colOff>
      <xdr:row>31</xdr:row>
      <xdr:rowOff>38005</xdr:rowOff>
    </xdr:from>
    <xdr:to>
      <xdr:col>22</xdr:col>
      <xdr:colOff>130849</xdr:colOff>
      <xdr:row>32</xdr:row>
      <xdr:rowOff>164753</xdr:rowOff>
    </xdr:to>
    <xdr:sp macro="" textlink="">
      <xdr:nvSpPr>
        <xdr:cNvPr id="29" name="TextBox 28">
          <a:extLst>
            <a:ext uri="{FF2B5EF4-FFF2-40B4-BE49-F238E27FC236}">
              <a16:creationId xmlns:a16="http://schemas.microsoft.com/office/drawing/2014/main" id="{302551ED-4C19-4FD0-A13B-DF41CD15D4E6}"/>
            </a:ext>
          </a:extLst>
        </xdr:cNvPr>
        <xdr:cNvSpPr txBox="1"/>
      </xdr:nvSpPr>
      <xdr:spPr>
        <a:xfrm>
          <a:off x="9819332" y="5693977"/>
          <a:ext cx="3769940" cy="319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a:r>
            <a:rPr lang="en-IN" sz="2000" b="1" i="0" baseline="0">
              <a:solidFill>
                <a:schemeClr val="bg1"/>
              </a:solidFill>
              <a:effectLst/>
              <a:latin typeface="+mn-lt"/>
              <a:ea typeface="+mn-ea"/>
              <a:cs typeface="+mn-cs"/>
            </a:rPr>
            <a:t>Passing Averaage of each subject</a:t>
          </a:r>
          <a:endParaRPr lang="en-IN" sz="4000" b="1">
            <a:solidFill>
              <a:schemeClr val="bg1"/>
            </a:solidFill>
            <a:effectLst/>
          </a:endParaRPr>
        </a:p>
      </xdr:txBody>
    </xdr:sp>
    <xdr:clientData/>
  </xdr:twoCellAnchor>
  <xdr:twoCellAnchor>
    <xdr:from>
      <xdr:col>0</xdr:col>
      <xdr:colOff>0</xdr:colOff>
      <xdr:row>33</xdr:row>
      <xdr:rowOff>7430</xdr:rowOff>
    </xdr:from>
    <xdr:to>
      <xdr:col>14</xdr:col>
      <xdr:colOff>47625</xdr:colOff>
      <xdr:row>48</xdr:row>
      <xdr:rowOff>174625</xdr:rowOff>
    </xdr:to>
    <xdr:graphicFrame macro="">
      <xdr:nvGraphicFramePr>
        <xdr:cNvPr id="30" name="Chart 29">
          <a:extLst>
            <a:ext uri="{FF2B5EF4-FFF2-40B4-BE49-F238E27FC236}">
              <a16:creationId xmlns:a16="http://schemas.microsoft.com/office/drawing/2014/main" id="{8504BB24-2546-45AD-A937-8DF5CD3E1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459127</xdr:colOff>
      <xdr:row>31</xdr:row>
      <xdr:rowOff>57350</xdr:rowOff>
    </xdr:from>
    <xdr:to>
      <xdr:col>10</xdr:col>
      <xdr:colOff>558587</xdr:colOff>
      <xdr:row>32</xdr:row>
      <xdr:rowOff>164720</xdr:rowOff>
    </xdr:to>
    <xdr:sp macro="" textlink="">
      <xdr:nvSpPr>
        <xdr:cNvPr id="35" name="TextBox 34">
          <a:extLst>
            <a:ext uri="{FF2B5EF4-FFF2-40B4-BE49-F238E27FC236}">
              <a16:creationId xmlns:a16="http://schemas.microsoft.com/office/drawing/2014/main" id="{6CEF7BBF-7D73-47B8-9F97-EF341899C82C}"/>
            </a:ext>
          </a:extLst>
        </xdr:cNvPr>
        <xdr:cNvSpPr txBox="1"/>
      </xdr:nvSpPr>
      <xdr:spPr>
        <a:xfrm>
          <a:off x="2903877" y="5716788"/>
          <a:ext cx="3766585" cy="305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a:r>
            <a:rPr lang="en-IN" sz="2000" b="1" i="0" baseline="0">
              <a:solidFill>
                <a:schemeClr val="bg1"/>
              </a:solidFill>
              <a:effectLst/>
              <a:latin typeface="+mn-lt"/>
              <a:ea typeface="+mn-ea"/>
              <a:cs typeface="+mn-cs"/>
            </a:rPr>
            <a:t>Top 5 Student Marks &amp; Rank </a:t>
          </a:r>
          <a:endParaRPr lang="en-IN" sz="4000" b="1">
            <a:solidFill>
              <a:schemeClr val="bg1"/>
            </a:solidFill>
            <a:effectLst/>
          </a:endParaRPr>
        </a:p>
      </xdr:txBody>
    </xdr:sp>
    <xdr:clientData/>
  </xdr:twoCellAnchor>
  <xdr:twoCellAnchor editAs="oneCell">
    <xdr:from>
      <xdr:col>7</xdr:col>
      <xdr:colOff>56803</xdr:colOff>
      <xdr:row>0</xdr:row>
      <xdr:rowOff>169026</xdr:rowOff>
    </xdr:from>
    <xdr:to>
      <xdr:col>7</xdr:col>
      <xdr:colOff>451215</xdr:colOff>
      <xdr:row>3</xdr:row>
      <xdr:rowOff>19158</xdr:rowOff>
    </xdr:to>
    <xdr:pic>
      <xdr:nvPicPr>
        <xdr:cNvPr id="37" name="Graphic 36" descr="Graduation cap with solid fill">
          <a:extLst>
            <a:ext uri="{FF2B5EF4-FFF2-40B4-BE49-F238E27FC236}">
              <a16:creationId xmlns:a16="http://schemas.microsoft.com/office/drawing/2014/main" id="{18969552-B327-4310-9627-65D9685EDC5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24003" y="169026"/>
          <a:ext cx="394412" cy="390459"/>
        </a:xfrm>
        <a:prstGeom prst="rect">
          <a:avLst/>
        </a:prstGeom>
      </xdr:spPr>
    </xdr:pic>
    <xdr:clientData/>
  </xdr:twoCellAnchor>
  <xdr:twoCellAnchor editAs="oneCell">
    <xdr:from>
      <xdr:col>15</xdr:col>
      <xdr:colOff>212796</xdr:colOff>
      <xdr:row>0</xdr:row>
      <xdr:rowOff>169666</xdr:rowOff>
    </xdr:from>
    <xdr:to>
      <xdr:col>16</xdr:col>
      <xdr:colOff>8850</xdr:colOff>
      <xdr:row>3</xdr:row>
      <xdr:rowOff>16463</xdr:rowOff>
    </xdr:to>
    <xdr:pic>
      <xdr:nvPicPr>
        <xdr:cNvPr id="38" name="Graphic 37" descr="Graduation cap with solid fill">
          <a:extLst>
            <a:ext uri="{FF2B5EF4-FFF2-40B4-BE49-F238E27FC236}">
              <a16:creationId xmlns:a16="http://schemas.microsoft.com/office/drawing/2014/main" id="{80B49B7E-F702-4E4C-B3AB-EB326EC3F15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314463" y="169666"/>
          <a:ext cx="402831" cy="39713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BINDRA NATH MAHATO" refreshedDate="46144.700116435182" createdVersion="8" refreshedVersion="8" minRefreshableVersion="3" recordCount="5" xr:uid="{2583D8B4-0995-4928-83B8-76A38B526A87}">
  <cacheSource type="worksheet">
    <worksheetSource ref="B34:C39" sheet="Result"/>
  </cacheSource>
  <cacheFields count="2">
    <cacheField name="SUBJECT" numFmtId="0">
      <sharedItems count="5">
        <s v="MATH"/>
        <s v="ENGLISH"/>
        <s v="SCIENCE"/>
        <s v="COMPUTER"/>
        <s v="SST"/>
      </sharedItems>
    </cacheField>
    <cacheField name="AVERAGE" numFmtId="2">
      <sharedItems containsSemiMixedTypes="0" containsString="0" containsNumber="1" minValue="58.133333333333333" maxValue="67.93333333333333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BINDRA NATH MAHATO" refreshedDate="46145.046971412034" createdVersion="8" refreshedVersion="8" minRefreshableVersion="3" recordCount="30" xr:uid="{22B489AE-B5D5-4F29-A2F5-0C2EC76E335D}">
  <cacheSource type="worksheet">
    <worksheetSource ref="A2:H32" sheet="Student_data"/>
  </cacheSource>
  <cacheFields count="8">
    <cacheField name="Student_ID" numFmtId="0">
      <sharedItems containsSemiMixedTypes="0" containsString="0" containsNumber="1" containsInteger="1" minValue="101" maxValue="130"/>
    </cacheField>
    <cacheField name="Name" numFmtId="0">
      <sharedItems/>
    </cacheField>
    <cacheField name="Gender" numFmtId="0">
      <sharedItems/>
    </cacheField>
    <cacheField name="Class" numFmtId="0">
      <sharedItems containsSemiMixedTypes="0" containsString="0" containsNumber="1" containsInteger="1" minValue="10" maxValue="10" count="1">
        <n v="10"/>
      </sharedItems>
    </cacheField>
    <cacheField name="Section" numFmtId="0">
      <sharedItems count="3">
        <s v="A"/>
        <s v="B"/>
        <s v="C"/>
      </sharedItems>
    </cacheField>
    <cacheField name="Status" numFmtId="0">
      <sharedItems/>
    </cacheField>
    <cacheField name="Contact" numFmtId="1">
      <sharedItems containsSemiMixedTypes="0" containsString="0" containsNumber="1" containsInteger="1" minValue="7031693958" maxValue="7031693958"/>
    </cacheField>
    <cacheField name="D.o.b" numFmtId="0">
      <sharedItems containsSemiMixedTypes="0" containsNonDate="0" containsDate="1" containsString="0" minDate="1999-05-01T00:00:00" maxDate="2013-10-15T00:00:00"/>
    </cacheField>
  </cacheFields>
  <extLst>
    <ext xmlns:x14="http://schemas.microsoft.com/office/spreadsheetml/2009/9/main" uri="{725AE2AE-9491-48be-B2B4-4EB974FC3084}">
      <x14:pivotCacheDefinition pivotCacheId="24749845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BINDRA NATH MAHATO" refreshedDate="46145.844422337963" createdVersion="8" refreshedVersion="8" minRefreshableVersion="3" recordCount="30" xr:uid="{4A62DFB3-E447-4BBC-8393-E25D91A40521}">
  <cacheSource type="worksheet">
    <worksheetSource ref="A2:L32" sheet="Result"/>
  </cacheSource>
  <cacheFields count="12">
    <cacheField name="Student_ID" numFmtId="0">
      <sharedItems containsSemiMixedTypes="0" containsString="0" containsNumber="1" containsInteger="1" minValue="101" maxValue="130"/>
    </cacheField>
    <cacheField name="Name" numFmtId="0">
      <sharedItems count="30">
        <s v="Rahul"/>
        <s v="Ankit"/>
        <s v="Priya"/>
        <s v="Neha"/>
        <s v="Aarav"/>
        <s v="Ananya"/>
        <s v="Vihaan"/>
        <s v="Diya"/>
        <s v="Arjun"/>
        <s v="Saanvi"/>
        <s v="Reyansh"/>
        <s v="Aadhya"/>
        <s v="Krishna"/>
        <s v="Ishani"/>
        <s v="Mohammed"/>
        <s v="Zara"/>
        <s v="Aditya"/>
        <s v="Kiara"/>
        <s v="Vivaan"/>
        <s v="Pari"/>
        <s v="Atharv"/>
        <s v="Shanaya"/>
        <s v="Darsh"/>
        <s v="Prisha"/>
        <s v="Sai"/>
        <s v="Ahana"/>
        <s v="Aryan"/>
        <s v="Meher"/>
        <s v="Ranbir"/>
        <s v="Rabin"/>
      </sharedItems>
    </cacheField>
    <cacheField name="Math" numFmtId="0">
      <sharedItems containsSemiMixedTypes="0" containsString="0" containsNumber="1" containsInteger="1" minValue="34" maxValue="99"/>
    </cacheField>
    <cacheField name="Eng" numFmtId="0">
      <sharedItems containsSemiMixedTypes="0" containsString="0" containsNumber="1" containsInteger="1" minValue="33" maxValue="99"/>
    </cacheField>
    <cacheField name="Sci" numFmtId="0">
      <sharedItems containsSemiMixedTypes="0" containsString="0" containsNumber="1" containsInteger="1" minValue="33" maxValue="99"/>
    </cacheField>
    <cacheField name="Comp" numFmtId="0">
      <sharedItems containsSemiMixedTypes="0" containsString="0" containsNumber="1" containsInteger="1" minValue="33" maxValue="99"/>
    </cacheField>
    <cacheField name="SST" numFmtId="0">
      <sharedItems containsSemiMixedTypes="0" containsString="0" containsNumber="1" containsInteger="1" minValue="33" maxValue="97"/>
    </cacheField>
    <cacheField name="Total " numFmtId="0">
      <sharedItems containsSemiMixedTypes="0" containsString="0" containsNumber="1" containsInteger="1" minValue="237" maxValue="437"/>
    </cacheField>
    <cacheField name="Percentsge" numFmtId="0">
      <sharedItems containsSemiMixedTypes="0" containsString="0" containsNumber="1" minValue="47.4" maxValue="87.4"/>
    </cacheField>
    <cacheField name="Grade" numFmtId="0">
      <sharedItems count="5">
        <s v="B"/>
        <s v="B+"/>
        <s v="A+"/>
        <s v="A"/>
        <s v="C+"/>
      </sharedItems>
    </cacheField>
    <cacheField name="Result" numFmtId="0">
      <sharedItems count="2">
        <s v="PASS"/>
        <s v="FAIL"/>
      </sharedItems>
    </cacheField>
    <cacheField name=" Rank" numFmtId="0">
      <sharedItems containsSemiMixedTypes="0" containsString="0" containsNumber="1" containsInteger="1" minValue="1" maxValue="30" count="29">
        <n v="21"/>
        <n v="23"/>
        <n v="18"/>
        <n v="2"/>
        <n v="8"/>
        <n v="28"/>
        <n v="17"/>
        <n v="4"/>
        <n v="10"/>
        <n v="22"/>
        <n v="7"/>
        <n v="15"/>
        <n v="27"/>
        <n v="20"/>
        <n v="16"/>
        <n v="6"/>
        <n v="26"/>
        <n v="1"/>
        <n v="3"/>
        <n v="29"/>
        <n v="13"/>
        <n v="30"/>
        <n v="5"/>
        <n v="25"/>
        <n v="14"/>
        <n v="11"/>
        <n v="12"/>
        <n v="9" u="1"/>
        <n v="19" u="1"/>
      </sharedItems>
    </cacheField>
  </cacheFields>
  <extLst>
    <ext xmlns:x14="http://schemas.microsoft.com/office/spreadsheetml/2009/9/main" uri="{725AE2AE-9491-48be-B2B4-4EB974FC3084}">
      <x14:pivotCacheDefinition pivotCacheId="1947912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63.166666666666664"/>
  </r>
  <r>
    <x v="1"/>
    <n v="63.866666666666667"/>
  </r>
  <r>
    <x v="2"/>
    <n v="65.666666666666671"/>
  </r>
  <r>
    <x v="3"/>
    <n v="58.133333333333333"/>
  </r>
  <r>
    <x v="4"/>
    <n v="67.9333333333333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1"/>
    <s v="Rahul"/>
    <s v="Male"/>
    <x v="0"/>
    <x v="0"/>
    <s v="Active"/>
    <n v="7031693958"/>
    <d v="2012-12-10T00:00:00"/>
  </r>
  <r>
    <n v="102"/>
    <s v="Ankit"/>
    <s v="Male"/>
    <x v="0"/>
    <x v="0"/>
    <s v="Active"/>
    <n v="7031693958"/>
    <d v="2012-12-21T00:00:00"/>
  </r>
  <r>
    <n v="103"/>
    <s v="Priya"/>
    <s v="Female"/>
    <x v="0"/>
    <x v="1"/>
    <s v="Active"/>
    <n v="7031693958"/>
    <d v="2013-01-01T00:00:00"/>
  </r>
  <r>
    <n v="104"/>
    <s v="Neha"/>
    <s v="Female"/>
    <x v="0"/>
    <x v="1"/>
    <s v="Active"/>
    <n v="7031693958"/>
    <d v="2013-01-12T00:00:00"/>
  </r>
  <r>
    <n v="105"/>
    <s v="Aarav"/>
    <s v="Female"/>
    <x v="0"/>
    <x v="2"/>
    <s v="Active"/>
    <n v="7031693958"/>
    <d v="2013-01-23T00:00:00"/>
  </r>
  <r>
    <n v="106"/>
    <s v="Ananya"/>
    <s v="Male"/>
    <x v="0"/>
    <x v="2"/>
    <s v="Active"/>
    <n v="7031693958"/>
    <d v="2013-02-03T00:00:00"/>
  </r>
  <r>
    <n v="107"/>
    <s v="Vihaan"/>
    <s v="Female"/>
    <x v="0"/>
    <x v="0"/>
    <s v="Active"/>
    <n v="7031693958"/>
    <d v="2013-02-14T00:00:00"/>
  </r>
  <r>
    <n v="108"/>
    <s v="Diya"/>
    <s v="Male"/>
    <x v="0"/>
    <x v="1"/>
    <s v="Active"/>
    <n v="7031693958"/>
    <d v="2013-02-25T00:00:00"/>
  </r>
  <r>
    <n v="109"/>
    <s v="Arjun"/>
    <s v="Female"/>
    <x v="0"/>
    <x v="2"/>
    <s v="Active"/>
    <n v="7031693958"/>
    <d v="2013-03-08T00:00:00"/>
  </r>
  <r>
    <n v="110"/>
    <s v="Saanvi"/>
    <s v="Male"/>
    <x v="0"/>
    <x v="0"/>
    <s v="Active"/>
    <n v="7031693958"/>
    <d v="2013-03-19T00:00:00"/>
  </r>
  <r>
    <n v="111"/>
    <s v="Reyansh"/>
    <s v="Female"/>
    <x v="0"/>
    <x v="0"/>
    <s v="Active"/>
    <n v="7031693958"/>
    <d v="2013-03-30T00:00:00"/>
  </r>
  <r>
    <n v="112"/>
    <s v="Aadhya"/>
    <s v="Male"/>
    <x v="0"/>
    <x v="1"/>
    <s v="Active"/>
    <n v="7031693958"/>
    <d v="2013-04-10T00:00:00"/>
  </r>
  <r>
    <n v="113"/>
    <s v="Krishna"/>
    <s v="Female"/>
    <x v="0"/>
    <x v="1"/>
    <s v="Active"/>
    <n v="7031693958"/>
    <d v="2013-04-21T00:00:00"/>
  </r>
  <r>
    <n v="114"/>
    <s v="Ishani"/>
    <s v="Male"/>
    <x v="0"/>
    <x v="2"/>
    <s v="Active"/>
    <n v="7031693958"/>
    <d v="2013-05-02T00:00:00"/>
  </r>
  <r>
    <n v="115"/>
    <s v="Mohammed"/>
    <s v="Female"/>
    <x v="0"/>
    <x v="2"/>
    <s v="Active"/>
    <n v="7031693958"/>
    <d v="2013-05-13T00:00:00"/>
  </r>
  <r>
    <n v="116"/>
    <s v="Zara"/>
    <s v="Male"/>
    <x v="0"/>
    <x v="0"/>
    <s v="Active"/>
    <n v="7031693958"/>
    <d v="2013-05-24T00:00:00"/>
  </r>
  <r>
    <n v="117"/>
    <s v="Aditya"/>
    <s v="Female"/>
    <x v="0"/>
    <x v="1"/>
    <s v="Active"/>
    <n v="7031693958"/>
    <d v="2013-06-04T00:00:00"/>
  </r>
  <r>
    <n v="118"/>
    <s v="Kiara"/>
    <s v="Male"/>
    <x v="0"/>
    <x v="2"/>
    <s v="Active"/>
    <n v="7031693958"/>
    <d v="2013-06-15T00:00:00"/>
  </r>
  <r>
    <n v="119"/>
    <s v="Vivaan"/>
    <s v="Female"/>
    <x v="0"/>
    <x v="0"/>
    <s v="Active"/>
    <n v="7031693958"/>
    <d v="2013-06-26T00:00:00"/>
  </r>
  <r>
    <n v="120"/>
    <s v="Pari"/>
    <s v="Male"/>
    <x v="0"/>
    <x v="0"/>
    <s v="Active"/>
    <n v="7031693958"/>
    <d v="2013-07-07T00:00:00"/>
  </r>
  <r>
    <n v="121"/>
    <s v="Atharv"/>
    <s v="Female"/>
    <x v="0"/>
    <x v="1"/>
    <s v="Active"/>
    <n v="7031693958"/>
    <d v="2013-07-18T00:00:00"/>
  </r>
  <r>
    <n v="122"/>
    <s v="Shanaya"/>
    <s v="Male"/>
    <x v="0"/>
    <x v="1"/>
    <s v="Active"/>
    <n v="7031693958"/>
    <d v="2013-07-29T00:00:00"/>
  </r>
  <r>
    <n v="123"/>
    <s v="Darsh"/>
    <s v="Female"/>
    <x v="0"/>
    <x v="2"/>
    <s v="Active"/>
    <n v="7031693958"/>
    <d v="2013-08-09T00:00:00"/>
  </r>
  <r>
    <n v="124"/>
    <s v="Prisha"/>
    <s v="Male"/>
    <x v="0"/>
    <x v="2"/>
    <s v="Active"/>
    <n v="7031693958"/>
    <d v="2013-08-20T00:00:00"/>
  </r>
  <r>
    <n v="125"/>
    <s v="Sai"/>
    <s v="Female"/>
    <x v="0"/>
    <x v="0"/>
    <s v="Active"/>
    <n v="7031693958"/>
    <d v="2013-08-31T00:00:00"/>
  </r>
  <r>
    <n v="126"/>
    <s v="Ahana"/>
    <s v="Male"/>
    <x v="0"/>
    <x v="1"/>
    <s v="Active"/>
    <n v="7031693958"/>
    <d v="2013-09-11T00:00:00"/>
  </r>
  <r>
    <n v="127"/>
    <s v="Aryan"/>
    <s v="Female"/>
    <x v="0"/>
    <x v="2"/>
    <s v="Active"/>
    <n v="7031693958"/>
    <d v="2013-09-22T00:00:00"/>
  </r>
  <r>
    <n v="128"/>
    <s v="Meher"/>
    <s v="Male"/>
    <x v="0"/>
    <x v="0"/>
    <s v="Active"/>
    <n v="7031693958"/>
    <d v="2013-10-03T00:00:00"/>
  </r>
  <r>
    <n v="129"/>
    <s v="Ranbir"/>
    <s v="Female"/>
    <x v="0"/>
    <x v="0"/>
    <s v="Active"/>
    <n v="7031693958"/>
    <d v="2013-10-14T00:00:00"/>
  </r>
  <r>
    <n v="130"/>
    <s v="Rabin"/>
    <s v="Male"/>
    <x v="0"/>
    <x v="1"/>
    <s v="Active"/>
    <n v="7031693958"/>
    <d v="1999-05-01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1"/>
    <x v="0"/>
    <n v="34"/>
    <n v="49"/>
    <n v="78"/>
    <n v="44"/>
    <n v="86"/>
    <n v="291"/>
    <n v="58.2"/>
    <x v="0"/>
    <x v="0"/>
    <x v="0"/>
  </r>
  <r>
    <n v="102"/>
    <x v="1"/>
    <n v="49"/>
    <n v="36"/>
    <n v="44"/>
    <n v="55"/>
    <n v="94"/>
    <n v="278"/>
    <n v="55.6"/>
    <x v="0"/>
    <x v="0"/>
    <x v="1"/>
  </r>
  <r>
    <n v="103"/>
    <x v="2"/>
    <n v="38"/>
    <n v="47"/>
    <n v="92"/>
    <n v="33"/>
    <n v="90"/>
    <n v="300"/>
    <n v="60"/>
    <x v="1"/>
    <x v="0"/>
    <x v="2"/>
  </r>
  <r>
    <n v="104"/>
    <x v="3"/>
    <n v="92"/>
    <n v="89"/>
    <n v="84"/>
    <n v="85"/>
    <n v="84"/>
    <n v="434"/>
    <n v="86.8"/>
    <x v="2"/>
    <x v="0"/>
    <x v="3"/>
  </r>
  <r>
    <n v="105"/>
    <x v="4"/>
    <n v="85"/>
    <n v="86"/>
    <n v="70"/>
    <n v="34"/>
    <n v="73"/>
    <n v="348"/>
    <n v="69.599999999999994"/>
    <x v="1"/>
    <x v="0"/>
    <x v="4"/>
  </r>
  <r>
    <n v="106"/>
    <x v="5"/>
    <n v="50"/>
    <n v="81"/>
    <n v="42"/>
    <n v="50"/>
    <n v="36"/>
    <n v="259"/>
    <n v="51.8"/>
    <x v="0"/>
    <x v="0"/>
    <x v="5"/>
  </r>
  <r>
    <n v="107"/>
    <x v="6"/>
    <n v="38"/>
    <n v="43"/>
    <n v="68"/>
    <n v="65"/>
    <n v="95"/>
    <n v="309"/>
    <n v="61.8"/>
    <x v="1"/>
    <x v="0"/>
    <x v="6"/>
  </r>
  <r>
    <n v="108"/>
    <x v="7"/>
    <n v="88"/>
    <n v="56"/>
    <n v="75"/>
    <n v="82"/>
    <n v="73"/>
    <n v="374"/>
    <n v="74.8"/>
    <x v="3"/>
    <x v="0"/>
    <x v="7"/>
  </r>
  <r>
    <n v="109"/>
    <x v="8"/>
    <n v="56"/>
    <n v="45"/>
    <n v="55"/>
    <n v="78"/>
    <n v="66"/>
    <n v="300"/>
    <n v="60"/>
    <x v="1"/>
    <x v="0"/>
    <x v="2"/>
  </r>
  <r>
    <n v="110"/>
    <x v="9"/>
    <n v="54"/>
    <n v="97"/>
    <n v="51"/>
    <n v="52"/>
    <n v="81"/>
    <n v="335"/>
    <n v="67"/>
    <x v="1"/>
    <x v="0"/>
    <x v="8"/>
  </r>
  <r>
    <n v="111"/>
    <x v="10"/>
    <n v="39"/>
    <n v="54"/>
    <n v="99"/>
    <n v="39"/>
    <n v="59"/>
    <n v="290"/>
    <n v="58"/>
    <x v="0"/>
    <x v="0"/>
    <x v="9"/>
  </r>
  <r>
    <n v="112"/>
    <x v="11"/>
    <n v="84"/>
    <n v="43"/>
    <n v="54"/>
    <n v="90"/>
    <n v="81"/>
    <n v="352"/>
    <n v="70.400000000000006"/>
    <x v="3"/>
    <x v="0"/>
    <x v="10"/>
  </r>
  <r>
    <n v="113"/>
    <x v="12"/>
    <n v="67"/>
    <n v="48"/>
    <n v="81"/>
    <n v="59"/>
    <n v="93"/>
    <n v="348"/>
    <n v="69.599999999999994"/>
    <x v="1"/>
    <x v="0"/>
    <x v="4"/>
  </r>
  <r>
    <n v="114"/>
    <x v="13"/>
    <n v="68"/>
    <n v="95"/>
    <n v="57"/>
    <n v="64"/>
    <n v="35"/>
    <n v="319"/>
    <n v="63.8"/>
    <x v="1"/>
    <x v="0"/>
    <x v="11"/>
  </r>
  <r>
    <n v="115"/>
    <x v="14"/>
    <n v="82"/>
    <n v="43"/>
    <n v="33"/>
    <n v="40"/>
    <n v="65"/>
    <n v="263"/>
    <n v="52.6"/>
    <x v="0"/>
    <x v="0"/>
    <x v="12"/>
  </r>
  <r>
    <n v="116"/>
    <x v="15"/>
    <n v="38"/>
    <n v="99"/>
    <n v="36"/>
    <n v="68"/>
    <n v="57"/>
    <n v="298"/>
    <n v="59.6"/>
    <x v="0"/>
    <x v="0"/>
    <x v="13"/>
  </r>
  <r>
    <n v="117"/>
    <x v="16"/>
    <n v="93"/>
    <n v="89"/>
    <n v="34"/>
    <n v="41"/>
    <n v="59"/>
    <n v="316"/>
    <n v="63.2"/>
    <x v="1"/>
    <x v="0"/>
    <x v="14"/>
  </r>
  <r>
    <n v="118"/>
    <x v="17"/>
    <n v="71"/>
    <n v="82"/>
    <n v="77"/>
    <n v="62"/>
    <n v="63"/>
    <n v="355"/>
    <n v="71"/>
    <x v="3"/>
    <x v="0"/>
    <x v="15"/>
  </r>
  <r>
    <n v="119"/>
    <x v="18"/>
    <n v="51"/>
    <n v="68"/>
    <n v="63"/>
    <n v="47"/>
    <n v="49"/>
    <n v="278"/>
    <n v="55.6"/>
    <x v="0"/>
    <x v="0"/>
    <x v="1"/>
  </r>
  <r>
    <n v="120"/>
    <x v="19"/>
    <n v="50"/>
    <n v="33"/>
    <n v="41"/>
    <n v="56"/>
    <n v="90"/>
    <n v="270"/>
    <n v="54"/>
    <x v="0"/>
    <x v="0"/>
    <x v="16"/>
  </r>
  <r>
    <n v="121"/>
    <x v="20"/>
    <n v="86"/>
    <n v="58"/>
    <n v="97"/>
    <n v="99"/>
    <n v="97"/>
    <n v="437"/>
    <n v="87.4"/>
    <x v="2"/>
    <x v="0"/>
    <x v="17"/>
  </r>
  <r>
    <n v="122"/>
    <x v="21"/>
    <n v="88"/>
    <n v="90"/>
    <n v="44"/>
    <n v="99"/>
    <n v="67"/>
    <n v="388"/>
    <n v="77.599999999999994"/>
    <x v="3"/>
    <x v="0"/>
    <x v="18"/>
  </r>
  <r>
    <n v="123"/>
    <x v="22"/>
    <n v="56"/>
    <n v="42"/>
    <n v="42"/>
    <n v="51"/>
    <n v="67"/>
    <n v="258"/>
    <n v="51.6"/>
    <x v="0"/>
    <x v="0"/>
    <x v="19"/>
  </r>
  <r>
    <n v="124"/>
    <x v="23"/>
    <n v="39"/>
    <n v="83"/>
    <n v="76"/>
    <n v="40"/>
    <n v="83"/>
    <n v="321"/>
    <n v="64.2"/>
    <x v="1"/>
    <x v="0"/>
    <x v="20"/>
  </r>
  <r>
    <n v="125"/>
    <x v="24"/>
    <n v="46"/>
    <n v="47"/>
    <n v="63"/>
    <n v="45"/>
    <n v="36"/>
    <n v="237"/>
    <n v="47.4"/>
    <x v="4"/>
    <x v="1"/>
    <x v="21"/>
  </r>
  <r>
    <n v="126"/>
    <x v="25"/>
    <n v="87"/>
    <n v="85"/>
    <n v="79"/>
    <n v="62"/>
    <n v="45"/>
    <n v="358"/>
    <n v="71.599999999999994"/>
    <x v="3"/>
    <x v="0"/>
    <x v="22"/>
  </r>
  <r>
    <n v="127"/>
    <x v="26"/>
    <n v="47"/>
    <n v="50"/>
    <n v="72"/>
    <n v="71"/>
    <n v="33"/>
    <n v="273"/>
    <n v="54.6"/>
    <x v="0"/>
    <x v="0"/>
    <x v="23"/>
  </r>
  <r>
    <n v="128"/>
    <x v="27"/>
    <n v="41"/>
    <n v="68"/>
    <n v="67"/>
    <n v="51"/>
    <n v="93"/>
    <n v="320"/>
    <n v="64"/>
    <x v="1"/>
    <x v="0"/>
    <x v="24"/>
  </r>
  <r>
    <n v="129"/>
    <x v="28"/>
    <n v="79"/>
    <n v="58"/>
    <n v="99"/>
    <n v="42"/>
    <n v="50"/>
    <n v="328"/>
    <n v="65.599999999999994"/>
    <x v="1"/>
    <x v="0"/>
    <x v="25"/>
  </r>
  <r>
    <n v="130"/>
    <x v="29"/>
    <n v="99"/>
    <n v="52"/>
    <n v="97"/>
    <n v="40"/>
    <n v="38"/>
    <n v="326"/>
    <n v="65.2"/>
    <x v="1"/>
    <x v="0"/>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E3D55E-6E1F-48F8-91A9-B4FB85B7C939}"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69:L75" firstHeaderRow="0" firstDataRow="1" firstDataCol="1"/>
  <pivotFields count="12">
    <pivotField showAll="0"/>
    <pivotField axis="axisRow" showAll="0" measureFilter="1" sortType="ascending" maxSubtotal="1">
      <items count="31">
        <item x="11"/>
        <item x="4"/>
        <item x="16"/>
        <item x="25"/>
        <item x="5"/>
        <item x="1"/>
        <item x="8"/>
        <item x="26"/>
        <item x="20"/>
        <item x="22"/>
        <item x="7"/>
        <item x="13"/>
        <item x="17"/>
        <item x="12"/>
        <item x="27"/>
        <item x="14"/>
        <item x="3"/>
        <item x="19"/>
        <item x="23"/>
        <item x="2"/>
        <item x="29"/>
        <item x="0"/>
        <item x="28"/>
        <item x="10"/>
        <item x="9"/>
        <item x="24"/>
        <item x="21"/>
        <item x="6"/>
        <item x="18"/>
        <item x="15"/>
        <item t="max"/>
      </items>
      <autoSortScope>
        <pivotArea dataOnly="0" outline="0" fieldPosition="0">
          <references count="1">
            <reference field="4294967294" count="1" selected="0">
              <x v="7"/>
            </reference>
          </references>
        </pivotArea>
      </autoSortScope>
    </pivotField>
    <pivotField dataField="1" showAll="0"/>
    <pivotField dataField="1" showAll="0"/>
    <pivotField dataField="1" showAll="0"/>
    <pivotField dataField="1" showAll="0"/>
    <pivotField dataField="1" showAll="0"/>
    <pivotField dataField="1" showAll="0"/>
    <pivotField dataField="1" showAll="0"/>
    <pivotField showAll="0"/>
    <pivotField showAll="0"/>
    <pivotField dataField="1" showAll="0"/>
  </pivotFields>
  <rowFields count="1">
    <field x="1"/>
  </rowFields>
  <rowItems count="6">
    <i>
      <x v="8"/>
    </i>
    <i>
      <x v="16"/>
    </i>
    <i>
      <x v="26"/>
    </i>
    <i>
      <x v="10"/>
    </i>
    <i>
      <x v="3"/>
    </i>
    <i t="grand">
      <x/>
    </i>
  </rowItems>
  <colFields count="1">
    <field x="-2"/>
  </colFields>
  <colItems count="8">
    <i>
      <x/>
    </i>
    <i i="1">
      <x v="1"/>
    </i>
    <i i="2">
      <x v="2"/>
    </i>
    <i i="3">
      <x v="3"/>
    </i>
    <i i="4">
      <x v="4"/>
    </i>
    <i i="5">
      <x v="5"/>
    </i>
    <i i="6">
      <x v="6"/>
    </i>
    <i i="7">
      <x v="7"/>
    </i>
  </colItems>
  <dataFields count="8">
    <dataField name="Sum of Math" fld="2" baseField="0" baseItem="0"/>
    <dataField name="Sum of Eng" fld="3" baseField="0" baseItem="0"/>
    <dataField name="Sum of Sci" fld="4" baseField="0" baseItem="0"/>
    <dataField name="Sum of Comp" fld="5" baseField="0" baseItem="0"/>
    <dataField name="Sum of SST" fld="6" baseField="0" baseItem="0"/>
    <dataField name="Sum of Total " fld="7" baseField="0" baseItem="0"/>
    <dataField name="Average of Percentsge" fld="8" subtotal="average" baseField="0" baseItem="0"/>
    <dataField name="Sum of  Rank" fld="11" baseField="0" baseItem="0"/>
  </dataFields>
  <formats count="14">
    <format dxfId="13">
      <pivotArea type="all" dataOnly="0" outline="0" fieldPosition="0"/>
    </format>
    <format dxfId="12">
      <pivotArea outline="0" collapsedLevelsAreSubtotals="1" fieldPosition="0"/>
    </format>
    <format dxfId="11">
      <pivotArea field="1" type="button" dataOnly="0" labelOnly="1" outline="0" axis="axisRow" fieldPosition="0"/>
    </format>
    <format dxfId="10">
      <pivotArea dataOnly="0" labelOnly="1" fieldPosition="0">
        <references count="1">
          <reference field="1" count="5">
            <x v="3"/>
            <x v="8"/>
            <x v="10"/>
            <x v="16"/>
            <x v="26"/>
          </reference>
        </references>
      </pivotArea>
    </format>
    <format dxfId="9">
      <pivotArea dataOnly="0" labelOnly="1" grandRow="1" outline="0" fieldPosition="0"/>
    </format>
    <format dxfId="8">
      <pivotArea dataOnly="0" labelOnly="1" outline="0" fieldPosition="0">
        <references count="1">
          <reference field="4294967294" count="7">
            <x v="0"/>
            <x v="1"/>
            <x v="2"/>
            <x v="3"/>
            <x v="4"/>
            <x v="5"/>
            <x v="6"/>
          </reference>
        </references>
      </pivotArea>
    </format>
    <format dxfId="7">
      <pivotArea type="all" dataOnly="0" outline="0" fieldPosition="0"/>
    </format>
    <format dxfId="6">
      <pivotArea outline="0" collapsedLevelsAreSubtotals="1" fieldPosition="0"/>
    </format>
    <format dxfId="5">
      <pivotArea field="1" type="button" dataOnly="0" labelOnly="1" outline="0" axis="axisRow" fieldPosition="0"/>
    </format>
    <format dxfId="4">
      <pivotArea dataOnly="0" labelOnly="1" fieldPosition="0">
        <references count="1">
          <reference field="1" count="5">
            <x v="3"/>
            <x v="8"/>
            <x v="10"/>
            <x v="16"/>
            <x v="26"/>
          </reference>
        </references>
      </pivotArea>
    </format>
    <format dxfId="3">
      <pivotArea dataOnly="0" labelOnly="1" grandRow="1" outline="0" fieldPosition="0"/>
    </format>
    <format dxfId="2">
      <pivotArea dataOnly="0" labelOnly="1" outline="0" fieldPosition="0">
        <references count="1">
          <reference field="4294967294" count="7">
            <x v="0"/>
            <x v="1"/>
            <x v="2"/>
            <x v="3"/>
            <x v="4"/>
            <x v="5"/>
            <x v="6"/>
          </reference>
        </references>
      </pivotArea>
    </format>
    <format dxfId="1">
      <pivotArea field="1" type="button" dataOnly="0" labelOnly="1" outline="0" axis="axisRow" fieldPosition="0"/>
    </format>
    <format dxfId="0">
      <pivotArea dataOnly="0" labelOnly="1" outline="0" fieldPosition="0">
        <references count="1">
          <reference field="4294967294" count="8">
            <x v="0"/>
            <x v="1"/>
            <x v="2"/>
            <x v="3"/>
            <x v="4"/>
            <x v="5"/>
            <x v="6"/>
            <x v="7"/>
          </reference>
        </references>
      </pivotArea>
    </format>
  </formats>
  <pivotTableStyleInfo name="PivotStyleLight23" showRowHeaders="1" showColHeaders="1" showRowStripes="0" showColStripes="0" showLastColumn="1"/>
  <filters count="1">
    <filter fld="1" type="count" evalOrder="-1" id="8" iMeasureFld="6">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7D8086-497A-4974-98E7-52A6C387258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8:A93" firstHeaderRow="1" firstDataRow="1" firstDataCol="1"/>
  <pivotFields count="8">
    <pivotField showAll="0"/>
    <pivotField showAll="0"/>
    <pivotField showAll="0"/>
    <pivotField axis="axisRow" showAll="0">
      <items count="2">
        <item x="0"/>
        <item t="default"/>
      </items>
    </pivotField>
    <pivotField axis="axisRow" showAll="0">
      <items count="4">
        <item x="0"/>
        <item x="1"/>
        <item x="2"/>
        <item t="default"/>
      </items>
    </pivotField>
    <pivotField showAll="0"/>
    <pivotField numFmtId="1" showAll="0"/>
    <pivotField showAll="0"/>
  </pivotFields>
  <rowFields count="2">
    <field x="3"/>
    <field x="4"/>
  </rowFields>
  <rowItems count="5">
    <i>
      <x/>
    </i>
    <i r="1">
      <x/>
    </i>
    <i r="1">
      <x v="1"/>
    </i>
    <i r="1">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B38FA2-B336-46ED-BB98-EA90EBA2CF7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5:B38" firstHeaderRow="1" firstDataRow="1" firstDataCol="1"/>
  <pivotFields count="12">
    <pivotField dataField="1"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10"/>
  </rowFields>
  <rowItems count="3">
    <i>
      <x/>
    </i>
    <i>
      <x v="1"/>
    </i>
    <i t="grand">
      <x/>
    </i>
  </rowItems>
  <colItems count="1">
    <i/>
  </colItems>
  <dataFields count="1">
    <dataField name="Count of Student_ID" fld="0" subtotal="count" showDataAs="percentOfTotal" baseField="0" baseItem="0" numFmtId="9"/>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0" count="1" selected="0">
            <x v="0"/>
          </reference>
        </references>
      </pivotArea>
    </chartFormat>
    <chartFormat chart="8"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F36DEA-ECAE-432F-8362-4C789DE0BCA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rowHeaderCaption="RANK ">
  <location ref="A47:C63" firstHeaderRow="0" firstDataRow="1" firstDataCol="1"/>
  <pivotFields count="12">
    <pivotField showAll="0"/>
    <pivotField axis="axisRow" dataField="1" showAll="0">
      <items count="31">
        <item x="11"/>
        <item x="4"/>
        <item x="16"/>
        <item x="25"/>
        <item x="5"/>
        <item x="1"/>
        <item x="8"/>
        <item x="26"/>
        <item x="20"/>
        <item x="22"/>
        <item x="7"/>
        <item x="13"/>
        <item x="17"/>
        <item x="12"/>
        <item x="27"/>
        <item x="14"/>
        <item x="3"/>
        <item x="19"/>
        <item x="23"/>
        <item x="2"/>
        <item x="29"/>
        <item x="0"/>
        <item x="28"/>
        <item x="10"/>
        <item x="9"/>
        <item x="24"/>
        <item x="21"/>
        <item x="6"/>
        <item x="18"/>
        <item x="15"/>
        <item t="default"/>
      </items>
    </pivotField>
    <pivotField showAll="0"/>
    <pivotField showAll="0"/>
    <pivotField showAll="0"/>
    <pivotField showAll="0"/>
    <pivotField showAll="0"/>
    <pivotField showAll="0"/>
    <pivotField dataField="1" showAll="0"/>
    <pivotField axis="axisRow" showAll="0">
      <items count="6">
        <item x="3"/>
        <item x="2"/>
        <item x="0"/>
        <item x="1"/>
        <item x="4"/>
        <item t="default"/>
      </items>
    </pivotField>
    <pivotField showAll="0">
      <items count="3">
        <item x="1"/>
        <item x="0"/>
        <item t="default"/>
      </items>
    </pivotField>
    <pivotField axis="axisRow" showAll="0" sortType="ascending">
      <items count="30">
        <item x="17"/>
        <item x="3"/>
        <item x="18"/>
        <item x="7"/>
        <item x="22"/>
        <item h="1" x="15"/>
        <item h="1" x="10"/>
        <item h="1" x="4"/>
        <item h="1" m="1" x="27"/>
        <item h="1" x="8"/>
        <item h="1" x="25"/>
        <item h="1" x="26"/>
        <item h="1" x="20"/>
        <item h="1" x="24"/>
        <item h="1" x="11"/>
        <item h="1" x="14"/>
        <item h="1" x="6"/>
        <item h="1" x="2"/>
        <item h="1" m="1" x="28"/>
        <item h="1" x="13"/>
        <item h="1" x="0"/>
        <item h="1" x="9"/>
        <item h="1" x="1"/>
        <item h="1" x="23"/>
        <item h="1" x="16"/>
        <item h="1" x="12"/>
        <item h="1" x="5"/>
        <item h="1" x="19"/>
        <item h="1" x="21"/>
        <item t="default"/>
      </items>
    </pivotField>
  </pivotFields>
  <rowFields count="3">
    <field x="11"/>
    <field x="1"/>
    <field x="9"/>
  </rowFields>
  <rowItems count="16">
    <i>
      <x/>
    </i>
    <i r="1">
      <x v="8"/>
    </i>
    <i r="2">
      <x v="1"/>
    </i>
    <i>
      <x v="1"/>
    </i>
    <i r="1">
      <x v="16"/>
    </i>
    <i r="2">
      <x v="1"/>
    </i>
    <i>
      <x v="2"/>
    </i>
    <i r="1">
      <x v="26"/>
    </i>
    <i r="2">
      <x/>
    </i>
    <i>
      <x v="3"/>
    </i>
    <i r="1">
      <x v="10"/>
    </i>
    <i r="2">
      <x/>
    </i>
    <i>
      <x v="4"/>
    </i>
    <i r="1">
      <x v="3"/>
    </i>
    <i r="2">
      <x/>
    </i>
    <i t="grand">
      <x/>
    </i>
  </rowItems>
  <colFields count="1">
    <field x="-2"/>
  </colFields>
  <colItems count="2">
    <i>
      <x/>
    </i>
    <i i="1">
      <x v="1"/>
    </i>
  </colItems>
  <dataFields count="2">
    <dataField name="Count of Name" fld="1" subtotal="count" baseField="0" baseItem="0"/>
    <dataField name="Sum of Percentsge" fld="8" baseField="0" baseItem="0"/>
  </dataFields>
  <chartFormats count="4">
    <chartFormat chart="16"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1"/>
          </reference>
        </references>
      </pivotArea>
    </chartFormat>
    <chartFormat chart="1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305469-5C72-45B4-9182-12FD265B44F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33:K39" firstHeaderRow="1" firstDataRow="1" firstDataCol="1"/>
  <pivotFields count="12">
    <pivotField showAll="0"/>
    <pivotField showAll="0"/>
    <pivotField showAll="0"/>
    <pivotField showAll="0"/>
    <pivotField showAll="0"/>
    <pivotField showAll="0"/>
    <pivotField showAll="0"/>
    <pivotField showAll="0"/>
    <pivotField showAll="0"/>
    <pivotField axis="axisRow" dataField="1" showAll="0">
      <items count="6">
        <item x="3"/>
        <item x="2"/>
        <item x="0"/>
        <item x="1"/>
        <item x="4"/>
        <item t="default"/>
      </items>
    </pivotField>
    <pivotField showAll="0"/>
    <pivotField showAll="0"/>
  </pivotFields>
  <rowFields count="1">
    <field x="9"/>
  </rowFields>
  <rowItems count="6">
    <i>
      <x/>
    </i>
    <i>
      <x v="1"/>
    </i>
    <i>
      <x v="2"/>
    </i>
    <i>
      <x v="3"/>
    </i>
    <i>
      <x v="4"/>
    </i>
    <i t="grand">
      <x/>
    </i>
  </rowItems>
  <colItems count="1">
    <i/>
  </colItems>
  <dataFields count="1">
    <dataField name="Count of Grade" fld="9" subtotal="count" baseField="0" baseItem="0"/>
  </dataFields>
  <chartFormats count="12">
    <chartFormat chart="7" format="0" series="1">
      <pivotArea type="data" outline="0" fieldPosition="0">
        <references count="1">
          <reference field="4294967294" count="1" selected="0">
            <x v="0"/>
          </reference>
        </references>
      </pivotArea>
    </chartFormat>
    <chartFormat chart="7" format="32">
      <pivotArea type="data" outline="0" fieldPosition="0">
        <references count="2">
          <reference field="4294967294" count="1" selected="0">
            <x v="0"/>
          </reference>
          <reference field="9" count="1" selected="0">
            <x v="0"/>
          </reference>
        </references>
      </pivotArea>
    </chartFormat>
    <chartFormat chart="7" format="33">
      <pivotArea type="data" outline="0" fieldPosition="0">
        <references count="2">
          <reference field="4294967294" count="1" selected="0">
            <x v="0"/>
          </reference>
          <reference field="9" count="1" selected="0">
            <x v="1"/>
          </reference>
        </references>
      </pivotArea>
    </chartFormat>
    <chartFormat chart="7" format="34">
      <pivotArea type="data" outline="0" fieldPosition="0">
        <references count="2">
          <reference field="4294967294" count="1" selected="0">
            <x v="0"/>
          </reference>
          <reference field="9" count="1" selected="0">
            <x v="2"/>
          </reference>
        </references>
      </pivotArea>
    </chartFormat>
    <chartFormat chart="7" format="35">
      <pivotArea type="data" outline="0" fieldPosition="0">
        <references count="2">
          <reference field="4294967294" count="1" selected="0">
            <x v="0"/>
          </reference>
          <reference field="9" count="1" selected="0">
            <x v="3"/>
          </reference>
        </references>
      </pivotArea>
    </chartFormat>
    <chartFormat chart="7" format="36">
      <pivotArea type="data" outline="0" fieldPosition="0">
        <references count="2">
          <reference field="4294967294" count="1" selected="0">
            <x v="0"/>
          </reference>
          <reference field="9" count="1" selected="0">
            <x v="4"/>
          </reference>
        </references>
      </pivotArea>
    </chartFormat>
    <chartFormat chart="17" format="43" series="1">
      <pivotArea type="data" outline="0" fieldPosition="0">
        <references count="1">
          <reference field="4294967294" count="1" selected="0">
            <x v="0"/>
          </reference>
        </references>
      </pivotArea>
    </chartFormat>
    <chartFormat chart="17" format="44">
      <pivotArea type="data" outline="0" fieldPosition="0">
        <references count="2">
          <reference field="4294967294" count="1" selected="0">
            <x v="0"/>
          </reference>
          <reference field="9" count="1" selected="0">
            <x v="0"/>
          </reference>
        </references>
      </pivotArea>
    </chartFormat>
    <chartFormat chart="17" format="45">
      <pivotArea type="data" outline="0" fieldPosition="0">
        <references count="2">
          <reference field="4294967294" count="1" selected="0">
            <x v="0"/>
          </reference>
          <reference field="9" count="1" selected="0">
            <x v="1"/>
          </reference>
        </references>
      </pivotArea>
    </chartFormat>
    <chartFormat chart="17" format="46">
      <pivotArea type="data" outline="0" fieldPosition="0">
        <references count="2">
          <reference field="4294967294" count="1" selected="0">
            <x v="0"/>
          </reference>
          <reference field="9" count="1" selected="0">
            <x v="2"/>
          </reference>
        </references>
      </pivotArea>
    </chartFormat>
    <chartFormat chart="17" format="47">
      <pivotArea type="data" outline="0" fieldPosition="0">
        <references count="2">
          <reference field="4294967294" count="1" selected="0">
            <x v="0"/>
          </reference>
          <reference field="9" count="1" selected="0">
            <x v="3"/>
          </reference>
        </references>
      </pivotArea>
    </chartFormat>
    <chartFormat chart="17" format="48">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3E3F7B-081C-44AD-AFE4-D0BE5C91E90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2:B33" firstHeaderRow="1" firstDataRow="1" firstDataCol="1"/>
  <pivotFields count="12">
    <pivotField showAll="0"/>
    <pivotField axis="axisRow" showAll="0">
      <items count="31">
        <item x="11"/>
        <item x="4"/>
        <item x="16"/>
        <item x="25"/>
        <item x="5"/>
        <item x="1"/>
        <item x="8"/>
        <item x="26"/>
        <item x="20"/>
        <item x="22"/>
        <item x="7"/>
        <item x="13"/>
        <item x="17"/>
        <item x="12"/>
        <item x="27"/>
        <item x="14"/>
        <item x="3"/>
        <item x="19"/>
        <item x="23"/>
        <item x="2"/>
        <item x="29"/>
        <item x="0"/>
        <item x="28"/>
        <item x="10"/>
        <item x="9"/>
        <item x="24"/>
        <item x="21"/>
        <item x="6"/>
        <item x="18"/>
        <item x="15"/>
        <item t="default"/>
      </items>
    </pivotField>
    <pivotField showAll="0"/>
    <pivotField showAll="0"/>
    <pivotField showAll="0"/>
    <pivotField showAll="0"/>
    <pivotField showAll="0"/>
    <pivotField showAll="0"/>
    <pivotField dataField="1" showAll="0"/>
    <pivotField showAll="0"/>
    <pivotField showAll="0"/>
    <pivotField showAll="0"/>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ercentsge" fld="8" subtotal="average" baseField="0" baseItem="0"/>
  </dataFields>
  <chartFormats count="4">
    <chartFormat chart="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66FEA1-1173-4BDF-BF1E-C31BF93C1A9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F58:G64" firstHeaderRow="1" firstDataRow="1" firstDataCol="1"/>
  <pivotFields count="2">
    <pivotField axis="axisRow" showAll="0">
      <items count="6">
        <item x="3"/>
        <item x="1"/>
        <item x="0"/>
        <item x="2"/>
        <item x="4"/>
        <item t="default"/>
      </items>
    </pivotField>
    <pivotField dataField="1" numFmtId="2" showAll="0"/>
  </pivotFields>
  <rowFields count="1">
    <field x="0"/>
  </rowFields>
  <rowItems count="6">
    <i>
      <x/>
    </i>
    <i>
      <x v="1"/>
    </i>
    <i>
      <x v="2"/>
    </i>
    <i>
      <x v="3"/>
    </i>
    <i>
      <x v="4"/>
    </i>
    <i t="grand">
      <x/>
    </i>
  </rowItems>
  <colItems count="1">
    <i/>
  </colItems>
  <dataFields count="1">
    <dataField name="Sum of AVERAGE" fld="1"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8238F513-D766-48CC-9127-2EBAF6F83321}" sourceName="Class">
  <pivotTables>
    <pivotTable tabId="4" name="PivotTable6"/>
  </pivotTables>
  <data>
    <tabular pivotCacheId="24749845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ion" xr10:uid="{7676EACD-3EC8-4A24-BA67-E14D965DB5F7}" sourceName="Section">
  <pivotTables>
    <pivotTable tabId="4" name="PivotTable6"/>
  </pivotTables>
  <data>
    <tabular pivotCacheId="24749845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xr10:uid="{5C26A091-77CE-4C5F-93A6-DF3A3D158BCF}" cache="Slicer_Class" caption="Class" rowHeight="234950"/>
  <slicer name="Section" xr10:uid="{268485C9-A973-4679-AC13-7EA51F7B131B}" cache="Slicer_Section" caption="Section"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1" xr10:uid="{51E9A5F2-FE57-44B5-A318-9E6F6A7B1210}" cache="Slicer_Class" caption="Class" style="SlicerStyleLight2" rowHeight="432000"/>
  <slicer name="Section 1" xr10:uid="{D5396460-99A2-47CE-8EEA-D9469082B7A8}" cache="Slicer_Section" caption="Section" columnCount="3" style="SlicerStyleLight6" rowHeight="43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43A4-B529-4C56-9FE7-6168E1C22436}">
  <dimension ref="A1:I32"/>
  <sheetViews>
    <sheetView topLeftCell="A2" workbookViewId="0">
      <selection activeCell="A2" sqref="A2:H32"/>
    </sheetView>
  </sheetViews>
  <sheetFormatPr defaultRowHeight="14.4"/>
  <cols>
    <col min="1" max="1" width="11.6640625" customWidth="1"/>
    <col min="2" max="2" width="13.88671875" customWidth="1"/>
    <col min="3" max="3" width="8.77734375" customWidth="1"/>
    <col min="4" max="4" width="6.21875" customWidth="1"/>
    <col min="5" max="5" width="9.109375" customWidth="1"/>
    <col min="6" max="6" width="7.109375" customWidth="1"/>
    <col min="7" max="7" width="12" customWidth="1"/>
    <col min="8" max="8" width="11.109375" customWidth="1"/>
  </cols>
  <sheetData>
    <row r="1" spans="1:9">
      <c r="A1" s="2"/>
      <c r="B1" s="2"/>
      <c r="C1" s="2"/>
      <c r="D1" s="2"/>
      <c r="E1" s="2"/>
      <c r="F1" s="2"/>
      <c r="G1" s="2"/>
      <c r="H1" s="2"/>
    </row>
    <row r="2" spans="1:9" ht="15.6">
      <c r="A2" s="9" t="s">
        <v>0</v>
      </c>
      <c r="B2" s="9" t="s">
        <v>1</v>
      </c>
      <c r="C2" s="9" t="s">
        <v>14</v>
      </c>
      <c r="D2" s="9" t="s">
        <v>2</v>
      </c>
      <c r="E2" s="9" t="s">
        <v>3</v>
      </c>
      <c r="F2" s="9" t="s">
        <v>11</v>
      </c>
      <c r="G2" s="9" t="s">
        <v>12</v>
      </c>
      <c r="H2" s="9" t="s">
        <v>10</v>
      </c>
      <c r="I2" s="1"/>
    </row>
    <row r="3" spans="1:9">
      <c r="A3" s="1">
        <v>101</v>
      </c>
      <c r="B3" s="1" t="s">
        <v>4</v>
      </c>
      <c r="C3" s="1" t="s">
        <v>15</v>
      </c>
      <c r="D3" s="1">
        <v>10</v>
      </c>
      <c r="E3" s="1" t="s">
        <v>5</v>
      </c>
      <c r="F3" s="2" t="s">
        <v>13</v>
      </c>
      <c r="G3" s="3">
        <v>7031693958</v>
      </c>
      <c r="H3" s="4">
        <v>41253</v>
      </c>
    </row>
    <row r="4" spans="1:9">
      <c r="A4" s="1">
        <v>102</v>
      </c>
      <c r="B4" s="1" t="s">
        <v>6</v>
      </c>
      <c r="C4" s="1" t="s">
        <v>15</v>
      </c>
      <c r="D4" s="1">
        <v>10</v>
      </c>
      <c r="E4" s="1" t="s">
        <v>5</v>
      </c>
      <c r="F4" s="2" t="s">
        <v>13</v>
      </c>
      <c r="G4" s="3">
        <v>7031693958</v>
      </c>
      <c r="H4" s="5">
        <v>41264</v>
      </c>
    </row>
    <row r="5" spans="1:9">
      <c r="A5" s="1">
        <v>103</v>
      </c>
      <c r="B5" s="1" t="s">
        <v>7</v>
      </c>
      <c r="C5" s="1" t="s">
        <v>16</v>
      </c>
      <c r="D5" s="1">
        <v>10</v>
      </c>
      <c r="E5" s="1" t="s">
        <v>8</v>
      </c>
      <c r="F5" s="2" t="s">
        <v>13</v>
      </c>
      <c r="G5" s="3">
        <v>7031693958</v>
      </c>
      <c r="H5" s="4">
        <v>41275</v>
      </c>
    </row>
    <row r="6" spans="1:9">
      <c r="A6" s="1">
        <v>104</v>
      </c>
      <c r="B6" s="1" t="s">
        <v>9</v>
      </c>
      <c r="C6" s="1" t="s">
        <v>16</v>
      </c>
      <c r="D6" s="1">
        <v>10</v>
      </c>
      <c r="E6" s="1" t="s">
        <v>8</v>
      </c>
      <c r="F6" s="2" t="s">
        <v>13</v>
      </c>
      <c r="G6" s="3">
        <v>7031693958</v>
      </c>
      <c r="H6" s="5">
        <v>41286</v>
      </c>
    </row>
    <row r="7" spans="1:9">
      <c r="A7" s="1">
        <v>105</v>
      </c>
      <c r="B7" s="6" t="s">
        <v>17</v>
      </c>
      <c r="C7" s="6" t="s">
        <v>16</v>
      </c>
      <c r="D7" s="1">
        <v>10</v>
      </c>
      <c r="E7" s="1" t="s">
        <v>42</v>
      </c>
      <c r="F7" s="2" t="s">
        <v>13</v>
      </c>
      <c r="G7" s="3">
        <v>7031693958</v>
      </c>
      <c r="H7" s="4">
        <v>41297</v>
      </c>
    </row>
    <row r="8" spans="1:9">
      <c r="A8" s="1">
        <v>106</v>
      </c>
      <c r="B8" s="6" t="s">
        <v>18</v>
      </c>
      <c r="C8" s="6" t="s">
        <v>15</v>
      </c>
      <c r="D8" s="1">
        <v>10</v>
      </c>
      <c r="E8" s="1" t="s">
        <v>42</v>
      </c>
      <c r="F8" s="2" t="s">
        <v>13</v>
      </c>
      <c r="G8" s="3">
        <v>7031693958</v>
      </c>
      <c r="H8" s="5">
        <v>41308</v>
      </c>
    </row>
    <row r="9" spans="1:9">
      <c r="A9" s="1">
        <v>107</v>
      </c>
      <c r="B9" s="6" t="s">
        <v>19</v>
      </c>
      <c r="C9" s="6" t="s">
        <v>16</v>
      </c>
      <c r="D9" s="1">
        <v>10</v>
      </c>
      <c r="E9" s="1" t="s">
        <v>5</v>
      </c>
      <c r="F9" s="2" t="s">
        <v>13</v>
      </c>
      <c r="G9" s="3">
        <v>7031693958</v>
      </c>
      <c r="H9" s="4">
        <v>41319</v>
      </c>
    </row>
    <row r="10" spans="1:9">
      <c r="A10" s="1">
        <v>108</v>
      </c>
      <c r="B10" s="6" t="s">
        <v>20</v>
      </c>
      <c r="C10" s="6" t="s">
        <v>15</v>
      </c>
      <c r="D10" s="1">
        <v>10</v>
      </c>
      <c r="E10" s="1" t="s">
        <v>8</v>
      </c>
      <c r="F10" s="2" t="s">
        <v>13</v>
      </c>
      <c r="G10" s="3">
        <v>7031693958</v>
      </c>
      <c r="H10" s="5">
        <v>41330</v>
      </c>
    </row>
    <row r="11" spans="1:9">
      <c r="A11" s="1">
        <v>109</v>
      </c>
      <c r="B11" s="6" t="s">
        <v>21</v>
      </c>
      <c r="C11" s="6" t="s">
        <v>16</v>
      </c>
      <c r="D11" s="1">
        <v>10</v>
      </c>
      <c r="E11" s="1" t="s">
        <v>42</v>
      </c>
      <c r="F11" s="2" t="s">
        <v>13</v>
      </c>
      <c r="G11" s="3">
        <v>7031693958</v>
      </c>
      <c r="H11" s="4">
        <v>41341</v>
      </c>
    </row>
    <row r="12" spans="1:9">
      <c r="A12" s="1">
        <v>110</v>
      </c>
      <c r="B12" s="6" t="s">
        <v>22</v>
      </c>
      <c r="C12" s="6" t="s">
        <v>15</v>
      </c>
      <c r="D12" s="1">
        <v>10</v>
      </c>
      <c r="E12" s="1" t="s">
        <v>5</v>
      </c>
      <c r="F12" s="2" t="s">
        <v>13</v>
      </c>
      <c r="G12" s="3">
        <v>7031693958</v>
      </c>
      <c r="H12" s="5">
        <v>41352</v>
      </c>
    </row>
    <row r="13" spans="1:9">
      <c r="A13" s="1">
        <v>111</v>
      </c>
      <c r="B13" s="6" t="s">
        <v>23</v>
      </c>
      <c r="C13" s="6" t="s">
        <v>16</v>
      </c>
      <c r="D13" s="1">
        <v>10</v>
      </c>
      <c r="E13" s="1" t="s">
        <v>5</v>
      </c>
      <c r="F13" s="2" t="s">
        <v>13</v>
      </c>
      <c r="G13" s="3">
        <v>7031693958</v>
      </c>
      <c r="H13" s="4">
        <v>41363</v>
      </c>
    </row>
    <row r="14" spans="1:9">
      <c r="A14" s="1">
        <v>112</v>
      </c>
      <c r="B14" s="6" t="s">
        <v>24</v>
      </c>
      <c r="C14" s="6" t="s">
        <v>15</v>
      </c>
      <c r="D14" s="1">
        <v>10</v>
      </c>
      <c r="E14" s="1" t="s">
        <v>8</v>
      </c>
      <c r="F14" s="2" t="s">
        <v>13</v>
      </c>
      <c r="G14" s="3">
        <v>7031693958</v>
      </c>
      <c r="H14" s="5">
        <v>41374</v>
      </c>
    </row>
    <row r="15" spans="1:9">
      <c r="A15" s="1">
        <v>113</v>
      </c>
      <c r="B15" s="6" t="s">
        <v>25</v>
      </c>
      <c r="C15" s="6" t="s">
        <v>16</v>
      </c>
      <c r="D15" s="1">
        <v>10</v>
      </c>
      <c r="E15" s="1" t="s">
        <v>8</v>
      </c>
      <c r="F15" s="2" t="s">
        <v>13</v>
      </c>
      <c r="G15" s="3">
        <v>7031693958</v>
      </c>
      <c r="H15" s="4">
        <v>41385</v>
      </c>
    </row>
    <row r="16" spans="1:9">
      <c r="A16" s="1">
        <v>114</v>
      </c>
      <c r="B16" s="6" t="s">
        <v>26</v>
      </c>
      <c r="C16" s="6" t="s">
        <v>15</v>
      </c>
      <c r="D16" s="1">
        <v>10</v>
      </c>
      <c r="E16" s="1" t="s">
        <v>42</v>
      </c>
      <c r="F16" s="2" t="s">
        <v>13</v>
      </c>
      <c r="G16" s="3">
        <v>7031693958</v>
      </c>
      <c r="H16" s="5">
        <v>41396</v>
      </c>
    </row>
    <row r="17" spans="1:8">
      <c r="A17" s="1">
        <v>115</v>
      </c>
      <c r="B17" s="7" t="s">
        <v>27</v>
      </c>
      <c r="C17" s="6" t="s">
        <v>16</v>
      </c>
      <c r="D17" s="1">
        <v>10</v>
      </c>
      <c r="E17" s="1" t="s">
        <v>42</v>
      </c>
      <c r="F17" s="2" t="s">
        <v>13</v>
      </c>
      <c r="G17" s="3">
        <v>7031693958</v>
      </c>
      <c r="H17" s="4">
        <v>41407</v>
      </c>
    </row>
    <row r="18" spans="1:8">
      <c r="A18" s="1">
        <v>116</v>
      </c>
      <c r="B18" s="6" t="s">
        <v>28</v>
      </c>
      <c r="C18" s="6" t="s">
        <v>15</v>
      </c>
      <c r="D18" s="1">
        <v>10</v>
      </c>
      <c r="E18" s="1" t="s">
        <v>5</v>
      </c>
      <c r="F18" s="2" t="s">
        <v>13</v>
      </c>
      <c r="G18" s="3">
        <v>7031693958</v>
      </c>
      <c r="H18" s="5">
        <v>41418</v>
      </c>
    </row>
    <row r="19" spans="1:8">
      <c r="A19" s="1">
        <v>117</v>
      </c>
      <c r="B19" s="6" t="s">
        <v>29</v>
      </c>
      <c r="C19" s="6" t="s">
        <v>16</v>
      </c>
      <c r="D19" s="1">
        <v>10</v>
      </c>
      <c r="E19" s="1" t="s">
        <v>8</v>
      </c>
      <c r="F19" s="2" t="s">
        <v>13</v>
      </c>
      <c r="G19" s="3">
        <v>7031693958</v>
      </c>
      <c r="H19" s="4">
        <v>41429</v>
      </c>
    </row>
    <row r="20" spans="1:8">
      <c r="A20" s="1">
        <v>118</v>
      </c>
      <c r="B20" s="6" t="s">
        <v>30</v>
      </c>
      <c r="C20" s="6" t="s">
        <v>15</v>
      </c>
      <c r="D20" s="1">
        <v>10</v>
      </c>
      <c r="E20" s="1" t="s">
        <v>42</v>
      </c>
      <c r="F20" s="2" t="s">
        <v>13</v>
      </c>
      <c r="G20" s="3">
        <v>7031693958</v>
      </c>
      <c r="H20" s="5">
        <v>41440</v>
      </c>
    </row>
    <row r="21" spans="1:8">
      <c r="A21" s="1">
        <v>119</v>
      </c>
      <c r="B21" s="6" t="s">
        <v>31</v>
      </c>
      <c r="C21" s="6" t="s">
        <v>16</v>
      </c>
      <c r="D21" s="1">
        <v>10</v>
      </c>
      <c r="E21" s="1" t="s">
        <v>5</v>
      </c>
      <c r="F21" s="2" t="s">
        <v>13</v>
      </c>
      <c r="G21" s="3">
        <v>7031693958</v>
      </c>
      <c r="H21" s="4">
        <v>41451</v>
      </c>
    </row>
    <row r="22" spans="1:8">
      <c r="A22" s="1">
        <v>120</v>
      </c>
      <c r="B22" s="6" t="s">
        <v>32</v>
      </c>
      <c r="C22" s="6" t="s">
        <v>15</v>
      </c>
      <c r="D22" s="1">
        <v>10</v>
      </c>
      <c r="E22" s="1" t="s">
        <v>5</v>
      </c>
      <c r="F22" s="2" t="s">
        <v>13</v>
      </c>
      <c r="G22" s="3">
        <v>7031693958</v>
      </c>
      <c r="H22" s="5">
        <v>41462</v>
      </c>
    </row>
    <row r="23" spans="1:8">
      <c r="A23" s="1">
        <v>121</v>
      </c>
      <c r="B23" s="6" t="s">
        <v>33</v>
      </c>
      <c r="C23" s="6" t="s">
        <v>16</v>
      </c>
      <c r="D23" s="1">
        <v>10</v>
      </c>
      <c r="E23" s="1" t="s">
        <v>8</v>
      </c>
      <c r="F23" s="2" t="s">
        <v>13</v>
      </c>
      <c r="G23" s="3">
        <v>7031693958</v>
      </c>
      <c r="H23" s="4">
        <v>41473</v>
      </c>
    </row>
    <row r="24" spans="1:8">
      <c r="A24" s="1">
        <v>122</v>
      </c>
      <c r="B24" s="6" t="s">
        <v>34</v>
      </c>
      <c r="C24" s="6" t="s">
        <v>15</v>
      </c>
      <c r="D24" s="1">
        <v>10</v>
      </c>
      <c r="E24" s="1" t="s">
        <v>8</v>
      </c>
      <c r="F24" s="2" t="s">
        <v>13</v>
      </c>
      <c r="G24" s="3">
        <v>7031693958</v>
      </c>
      <c r="H24" s="5">
        <v>41484</v>
      </c>
    </row>
    <row r="25" spans="1:8">
      <c r="A25" s="1">
        <v>123</v>
      </c>
      <c r="B25" s="6" t="s">
        <v>35</v>
      </c>
      <c r="C25" s="6" t="s">
        <v>16</v>
      </c>
      <c r="D25" s="1">
        <v>10</v>
      </c>
      <c r="E25" s="1" t="s">
        <v>42</v>
      </c>
      <c r="F25" s="2" t="s">
        <v>13</v>
      </c>
      <c r="G25" s="3">
        <v>7031693958</v>
      </c>
      <c r="H25" s="4">
        <v>41495</v>
      </c>
    </row>
    <row r="26" spans="1:8">
      <c r="A26" s="1">
        <v>124</v>
      </c>
      <c r="B26" s="6" t="s">
        <v>36</v>
      </c>
      <c r="C26" s="6" t="s">
        <v>15</v>
      </c>
      <c r="D26" s="1">
        <v>10</v>
      </c>
      <c r="E26" s="1" t="s">
        <v>42</v>
      </c>
      <c r="F26" s="2" t="s">
        <v>13</v>
      </c>
      <c r="G26" s="3">
        <v>7031693958</v>
      </c>
      <c r="H26" s="5">
        <v>41506</v>
      </c>
    </row>
    <row r="27" spans="1:8">
      <c r="A27" s="1">
        <v>125</v>
      </c>
      <c r="B27" s="6" t="s">
        <v>37</v>
      </c>
      <c r="C27" s="6" t="s">
        <v>16</v>
      </c>
      <c r="D27" s="1">
        <v>10</v>
      </c>
      <c r="E27" s="1" t="s">
        <v>5</v>
      </c>
      <c r="F27" s="2" t="s">
        <v>13</v>
      </c>
      <c r="G27" s="3">
        <v>7031693958</v>
      </c>
      <c r="H27" s="4">
        <v>41517</v>
      </c>
    </row>
    <row r="28" spans="1:8">
      <c r="A28" s="1">
        <v>126</v>
      </c>
      <c r="B28" s="6" t="s">
        <v>38</v>
      </c>
      <c r="C28" s="6" t="s">
        <v>15</v>
      </c>
      <c r="D28" s="1">
        <v>10</v>
      </c>
      <c r="E28" s="1" t="s">
        <v>8</v>
      </c>
      <c r="F28" s="2" t="s">
        <v>13</v>
      </c>
      <c r="G28" s="3">
        <v>7031693958</v>
      </c>
      <c r="H28" s="5">
        <v>41528</v>
      </c>
    </row>
    <row r="29" spans="1:8">
      <c r="A29" s="1">
        <v>127</v>
      </c>
      <c r="B29" s="6" t="s">
        <v>39</v>
      </c>
      <c r="C29" s="6" t="s">
        <v>16</v>
      </c>
      <c r="D29" s="1">
        <v>10</v>
      </c>
      <c r="E29" s="1" t="s">
        <v>42</v>
      </c>
      <c r="F29" s="2" t="s">
        <v>13</v>
      </c>
      <c r="G29" s="3">
        <v>7031693958</v>
      </c>
      <c r="H29" s="4">
        <v>41539</v>
      </c>
    </row>
    <row r="30" spans="1:8">
      <c r="A30" s="1">
        <v>128</v>
      </c>
      <c r="B30" s="6" t="s">
        <v>40</v>
      </c>
      <c r="C30" s="6" t="s">
        <v>15</v>
      </c>
      <c r="D30" s="1">
        <v>10</v>
      </c>
      <c r="E30" s="1" t="s">
        <v>5</v>
      </c>
      <c r="F30" s="2" t="s">
        <v>13</v>
      </c>
      <c r="G30" s="3">
        <v>7031693958</v>
      </c>
      <c r="H30" s="5">
        <v>41550</v>
      </c>
    </row>
    <row r="31" spans="1:8">
      <c r="A31" s="1">
        <v>129</v>
      </c>
      <c r="B31" s="6" t="s">
        <v>41</v>
      </c>
      <c r="C31" s="6" t="s">
        <v>16</v>
      </c>
      <c r="D31" s="1">
        <v>10</v>
      </c>
      <c r="E31" s="1" t="s">
        <v>5</v>
      </c>
      <c r="F31" s="2" t="s">
        <v>13</v>
      </c>
      <c r="G31" s="3">
        <v>7031693958</v>
      </c>
      <c r="H31" s="4">
        <v>41561</v>
      </c>
    </row>
    <row r="32" spans="1:8">
      <c r="A32" s="1">
        <v>130</v>
      </c>
      <c r="B32" s="6" t="s">
        <v>43</v>
      </c>
      <c r="C32" s="6" t="s">
        <v>15</v>
      </c>
      <c r="D32" s="1">
        <v>10</v>
      </c>
      <c r="E32" s="1" t="s">
        <v>8</v>
      </c>
      <c r="F32" s="1" t="s">
        <v>13</v>
      </c>
      <c r="G32" s="3">
        <v>7031693958</v>
      </c>
      <c r="H32" s="8">
        <v>36281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EB4FE-CFEE-4F00-82A0-9D8CA348AF82}">
  <dimension ref="A2:F32"/>
  <sheetViews>
    <sheetView topLeftCell="A5" zoomScale="86" workbookViewId="0">
      <selection activeCell="G2" sqref="G2"/>
    </sheetView>
  </sheetViews>
  <sheetFormatPr defaultRowHeight="14.4"/>
  <cols>
    <col min="1" max="1" width="12.33203125" customWidth="1"/>
  </cols>
  <sheetData>
    <row r="2" spans="1:6" ht="15.6">
      <c r="A2" s="10" t="s">
        <v>0</v>
      </c>
      <c r="B2" s="11" t="s">
        <v>44</v>
      </c>
      <c r="C2" s="11" t="s">
        <v>45</v>
      </c>
      <c r="D2" s="11" t="s">
        <v>46</v>
      </c>
      <c r="E2" s="11" t="s">
        <v>47</v>
      </c>
      <c r="F2" s="11" t="s">
        <v>48</v>
      </c>
    </row>
    <row r="3" spans="1:6">
      <c r="A3" s="1">
        <v>101</v>
      </c>
      <c r="B3">
        <v>34</v>
      </c>
      <c r="C3">
        <v>49</v>
      </c>
      <c r="D3">
        <v>78</v>
      </c>
      <c r="E3">
        <v>44</v>
      </c>
      <c r="F3">
        <v>86</v>
      </c>
    </row>
    <row r="4" spans="1:6">
      <c r="A4" s="1">
        <v>102</v>
      </c>
      <c r="B4">
        <v>49</v>
      </c>
      <c r="C4">
        <v>36</v>
      </c>
      <c r="D4">
        <v>44</v>
      </c>
      <c r="E4">
        <v>55</v>
      </c>
      <c r="F4">
        <v>94</v>
      </c>
    </row>
    <row r="5" spans="1:6">
      <c r="A5" s="1">
        <v>103</v>
      </c>
      <c r="B5">
        <v>38</v>
      </c>
      <c r="C5">
        <v>47</v>
      </c>
      <c r="D5">
        <v>92</v>
      </c>
      <c r="E5">
        <v>33</v>
      </c>
      <c r="F5">
        <v>90</v>
      </c>
    </row>
    <row r="6" spans="1:6">
      <c r="A6" s="1">
        <v>104</v>
      </c>
      <c r="B6">
        <v>92</v>
      </c>
      <c r="C6">
        <v>89</v>
      </c>
      <c r="D6">
        <v>84</v>
      </c>
      <c r="E6">
        <v>85</v>
      </c>
      <c r="F6">
        <v>84</v>
      </c>
    </row>
    <row r="7" spans="1:6">
      <c r="A7" s="1">
        <v>105</v>
      </c>
      <c r="B7">
        <v>85</v>
      </c>
      <c r="C7">
        <v>86</v>
      </c>
      <c r="D7">
        <v>70</v>
      </c>
      <c r="E7">
        <v>34</v>
      </c>
      <c r="F7">
        <v>73</v>
      </c>
    </row>
    <row r="8" spans="1:6">
      <c r="A8" s="1">
        <v>106</v>
      </c>
      <c r="B8">
        <v>50</v>
      </c>
      <c r="C8">
        <v>81</v>
      </c>
      <c r="D8">
        <v>42</v>
      </c>
      <c r="E8">
        <v>50</v>
      </c>
      <c r="F8">
        <v>36</v>
      </c>
    </row>
    <row r="9" spans="1:6">
      <c r="A9" s="1">
        <v>107</v>
      </c>
      <c r="B9">
        <v>38</v>
      </c>
      <c r="C9">
        <v>43</v>
      </c>
      <c r="D9">
        <v>68</v>
      </c>
      <c r="E9">
        <v>65</v>
      </c>
      <c r="F9">
        <v>95</v>
      </c>
    </row>
    <row r="10" spans="1:6">
      <c r="A10" s="1">
        <v>108</v>
      </c>
      <c r="B10">
        <v>88</v>
      </c>
      <c r="C10">
        <v>56</v>
      </c>
      <c r="D10">
        <v>75</v>
      </c>
      <c r="E10">
        <v>82</v>
      </c>
      <c r="F10">
        <v>73</v>
      </c>
    </row>
    <row r="11" spans="1:6">
      <c r="A11" s="1">
        <v>109</v>
      </c>
      <c r="B11">
        <v>56</v>
      </c>
      <c r="C11">
        <v>45</v>
      </c>
      <c r="D11">
        <v>55</v>
      </c>
      <c r="E11">
        <v>78</v>
      </c>
      <c r="F11">
        <v>66</v>
      </c>
    </row>
    <row r="12" spans="1:6">
      <c r="A12" s="1">
        <v>110</v>
      </c>
      <c r="B12">
        <v>54</v>
      </c>
      <c r="C12">
        <v>97</v>
      </c>
      <c r="D12">
        <v>51</v>
      </c>
      <c r="E12">
        <v>52</v>
      </c>
      <c r="F12">
        <v>81</v>
      </c>
    </row>
    <row r="13" spans="1:6">
      <c r="A13" s="1">
        <v>111</v>
      </c>
      <c r="B13">
        <v>39</v>
      </c>
      <c r="C13">
        <v>54</v>
      </c>
      <c r="D13">
        <v>99</v>
      </c>
      <c r="E13">
        <v>39</v>
      </c>
      <c r="F13">
        <v>59</v>
      </c>
    </row>
    <row r="14" spans="1:6">
      <c r="A14" s="1">
        <v>112</v>
      </c>
      <c r="B14">
        <v>84</v>
      </c>
      <c r="C14">
        <v>43</v>
      </c>
      <c r="D14">
        <v>54</v>
      </c>
      <c r="E14">
        <v>90</v>
      </c>
      <c r="F14">
        <v>81</v>
      </c>
    </row>
    <row r="15" spans="1:6">
      <c r="A15" s="1">
        <v>113</v>
      </c>
      <c r="B15">
        <v>67</v>
      </c>
      <c r="C15">
        <v>48</v>
      </c>
      <c r="D15">
        <v>81</v>
      </c>
      <c r="E15">
        <v>59</v>
      </c>
      <c r="F15">
        <v>93</v>
      </c>
    </row>
    <row r="16" spans="1:6">
      <c r="A16" s="1">
        <v>114</v>
      </c>
      <c r="B16">
        <v>68</v>
      </c>
      <c r="C16">
        <v>95</v>
      </c>
      <c r="D16">
        <v>57</v>
      </c>
      <c r="E16">
        <v>64</v>
      </c>
      <c r="F16">
        <v>35</v>
      </c>
    </row>
    <row r="17" spans="1:6">
      <c r="A17" s="1">
        <v>115</v>
      </c>
      <c r="B17">
        <v>82</v>
      </c>
      <c r="C17">
        <v>43</v>
      </c>
      <c r="D17">
        <v>33</v>
      </c>
      <c r="E17">
        <v>40</v>
      </c>
      <c r="F17">
        <v>65</v>
      </c>
    </row>
    <row r="18" spans="1:6">
      <c r="A18" s="1">
        <v>116</v>
      </c>
      <c r="B18">
        <v>38</v>
      </c>
      <c r="C18">
        <v>99</v>
      </c>
      <c r="D18">
        <v>36</v>
      </c>
      <c r="E18">
        <v>68</v>
      </c>
      <c r="F18">
        <v>57</v>
      </c>
    </row>
    <row r="19" spans="1:6">
      <c r="A19" s="1">
        <v>117</v>
      </c>
      <c r="B19">
        <v>93</v>
      </c>
      <c r="C19">
        <v>89</v>
      </c>
      <c r="D19">
        <v>34</v>
      </c>
      <c r="E19">
        <v>41</v>
      </c>
      <c r="F19">
        <v>59</v>
      </c>
    </row>
    <row r="20" spans="1:6">
      <c r="A20" s="1">
        <v>118</v>
      </c>
      <c r="B20">
        <v>71</v>
      </c>
      <c r="C20">
        <v>82</v>
      </c>
      <c r="D20">
        <v>77</v>
      </c>
      <c r="E20">
        <v>62</v>
      </c>
      <c r="F20">
        <v>63</v>
      </c>
    </row>
    <row r="21" spans="1:6">
      <c r="A21" s="1">
        <v>119</v>
      </c>
      <c r="B21">
        <v>51</v>
      </c>
      <c r="C21">
        <v>68</v>
      </c>
      <c r="D21">
        <v>63</v>
      </c>
      <c r="E21">
        <v>47</v>
      </c>
      <c r="F21">
        <v>49</v>
      </c>
    </row>
    <row r="22" spans="1:6">
      <c r="A22" s="1">
        <v>120</v>
      </c>
      <c r="B22">
        <v>50</v>
      </c>
      <c r="C22">
        <v>33</v>
      </c>
      <c r="D22">
        <v>41</v>
      </c>
      <c r="E22">
        <v>56</v>
      </c>
      <c r="F22">
        <v>90</v>
      </c>
    </row>
    <row r="23" spans="1:6">
      <c r="A23" s="1">
        <v>121</v>
      </c>
      <c r="B23">
        <v>86</v>
      </c>
      <c r="C23">
        <v>58</v>
      </c>
      <c r="D23">
        <v>97</v>
      </c>
      <c r="E23">
        <v>99</v>
      </c>
      <c r="F23">
        <v>97</v>
      </c>
    </row>
    <row r="24" spans="1:6">
      <c r="A24" s="1">
        <v>122</v>
      </c>
      <c r="B24">
        <v>88</v>
      </c>
      <c r="C24">
        <v>90</v>
      </c>
      <c r="D24">
        <v>44</v>
      </c>
      <c r="E24">
        <v>99</v>
      </c>
      <c r="F24">
        <v>67</v>
      </c>
    </row>
    <row r="25" spans="1:6">
      <c r="A25" s="1">
        <v>123</v>
      </c>
      <c r="B25">
        <v>56</v>
      </c>
      <c r="C25">
        <v>42</v>
      </c>
      <c r="D25">
        <v>42</v>
      </c>
      <c r="E25">
        <v>51</v>
      </c>
      <c r="F25">
        <v>67</v>
      </c>
    </row>
    <row r="26" spans="1:6">
      <c r="A26" s="1">
        <v>124</v>
      </c>
      <c r="B26">
        <v>39</v>
      </c>
      <c r="C26">
        <v>83</v>
      </c>
      <c r="D26">
        <v>76</v>
      </c>
      <c r="E26">
        <v>40</v>
      </c>
      <c r="F26">
        <v>83</v>
      </c>
    </row>
    <row r="27" spans="1:6">
      <c r="A27" s="1">
        <v>125</v>
      </c>
      <c r="B27">
        <v>46</v>
      </c>
      <c r="C27">
        <v>47</v>
      </c>
      <c r="D27">
        <v>63</v>
      </c>
      <c r="E27">
        <v>45</v>
      </c>
      <c r="F27">
        <v>36</v>
      </c>
    </row>
    <row r="28" spans="1:6">
      <c r="A28" s="1">
        <v>126</v>
      </c>
      <c r="B28">
        <v>87</v>
      </c>
      <c r="C28">
        <v>85</v>
      </c>
      <c r="D28">
        <v>79</v>
      </c>
      <c r="E28">
        <v>62</v>
      </c>
      <c r="F28">
        <v>45</v>
      </c>
    </row>
    <row r="29" spans="1:6">
      <c r="A29" s="1">
        <v>127</v>
      </c>
      <c r="B29">
        <v>47</v>
      </c>
      <c r="C29">
        <v>50</v>
      </c>
      <c r="D29">
        <v>72</v>
      </c>
      <c r="E29">
        <v>71</v>
      </c>
      <c r="F29">
        <v>33</v>
      </c>
    </row>
    <row r="30" spans="1:6">
      <c r="A30" s="1">
        <v>128</v>
      </c>
      <c r="B30">
        <v>41</v>
      </c>
      <c r="C30">
        <v>68</v>
      </c>
      <c r="D30">
        <v>67</v>
      </c>
      <c r="E30">
        <v>51</v>
      </c>
      <c r="F30">
        <v>93</v>
      </c>
    </row>
    <row r="31" spans="1:6">
      <c r="A31" s="1">
        <v>129</v>
      </c>
      <c r="B31">
        <v>79</v>
      </c>
      <c r="C31">
        <v>58</v>
      </c>
      <c r="D31">
        <v>99</v>
      </c>
      <c r="E31">
        <v>42</v>
      </c>
      <c r="F31">
        <v>50</v>
      </c>
    </row>
    <row r="32" spans="1:6">
      <c r="A32" s="1">
        <v>130</v>
      </c>
      <c r="B32">
        <v>99</v>
      </c>
      <c r="C32">
        <v>52</v>
      </c>
      <c r="D32">
        <v>97</v>
      </c>
      <c r="E32">
        <v>40</v>
      </c>
      <c r="F32">
        <v>38</v>
      </c>
    </row>
  </sheetData>
  <dataValidations count="1">
    <dataValidation type="whole" allowBlank="1" showInputMessage="1" showErrorMessage="1" sqref="B3:F32" xr:uid="{13549F5C-6B25-4915-BC04-8223E33283CF}">
      <formula1>0</formula1>
      <formula2>100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5B5AE-A506-4E07-B99A-4AE6ED5D9C41}">
  <dimension ref="A1:U39"/>
  <sheetViews>
    <sheetView topLeftCell="A4" zoomScale="77" zoomScaleNormal="115" workbookViewId="0">
      <selection activeCell="Q1" sqref="Q1"/>
    </sheetView>
  </sheetViews>
  <sheetFormatPr defaultRowHeight="14.4"/>
  <cols>
    <col min="1" max="1" width="11.44140625" style="2" bestFit="1" customWidth="1"/>
    <col min="2" max="2" width="13.88671875" customWidth="1"/>
    <col min="3" max="8" width="7.77734375" style="2" customWidth="1"/>
    <col min="9" max="9" width="11.109375" style="2" bestFit="1" customWidth="1"/>
    <col min="10" max="10" width="6.6640625" style="2" bestFit="1" customWidth="1"/>
    <col min="11" max="11" width="6.77734375" style="2" bestFit="1" customWidth="1"/>
    <col min="12" max="12" width="6.21875" style="2" bestFit="1" customWidth="1"/>
    <col min="13" max="18" width="8.88671875" style="2"/>
    <col min="19" max="20" width="8.88671875" style="2" customWidth="1"/>
    <col min="21" max="21" width="1.6640625" style="2" customWidth="1"/>
    <col min="22" max="16384" width="8.88671875" style="2"/>
  </cols>
  <sheetData>
    <row r="1" spans="1:12">
      <c r="B1" s="2"/>
    </row>
    <row r="2" spans="1:12" ht="15.6">
      <c r="A2" s="13" t="s">
        <v>0</v>
      </c>
      <c r="B2" s="14" t="s">
        <v>1</v>
      </c>
      <c r="C2" s="12" t="s">
        <v>44</v>
      </c>
      <c r="D2" s="12" t="s">
        <v>45</v>
      </c>
      <c r="E2" s="12" t="s">
        <v>46</v>
      </c>
      <c r="F2" s="12" t="s">
        <v>47</v>
      </c>
      <c r="G2" s="12" t="s">
        <v>48</v>
      </c>
      <c r="H2" s="13" t="s">
        <v>49</v>
      </c>
      <c r="I2" s="13" t="s">
        <v>50</v>
      </c>
      <c r="J2" s="13" t="s">
        <v>51</v>
      </c>
      <c r="K2" s="13" t="s">
        <v>52</v>
      </c>
      <c r="L2" s="13" t="s">
        <v>53</v>
      </c>
    </row>
    <row r="3" spans="1:12">
      <c r="A3" s="1">
        <v>101</v>
      </c>
      <c r="B3" s="1" t="s">
        <v>4</v>
      </c>
      <c r="C3" s="2">
        <v>34</v>
      </c>
      <c r="D3" s="2">
        <v>49</v>
      </c>
      <c r="E3" s="2">
        <v>78</v>
      </c>
      <c r="F3" s="2">
        <v>44</v>
      </c>
      <c r="G3" s="2">
        <v>86</v>
      </c>
      <c r="H3" s="2">
        <f>SUM(C3:G3)</f>
        <v>291</v>
      </c>
      <c r="I3" s="2">
        <f>AVERAGE(C3:G3)</f>
        <v>58.2</v>
      </c>
      <c r="J3" s="2" t="str">
        <f>IF(I3&gt;=90,"AA",IF(I3&gt;=80,"A+",IF(I3&gt;=70,"A",IF(I3&gt;=60,"B+",IF(I3&gt;=50,"B",IF(I3&gt;=40,"C+",IF(I3&gt;=30,"C",IF(I3&lt;=30,"Fail"))))))))</f>
        <v>B</v>
      </c>
      <c r="K3" s="2" t="str">
        <f>IF(I3&gt;50,"PASS","FAIL")</f>
        <v>PASS</v>
      </c>
      <c r="L3" s="2">
        <f>RANK(I3,$I$3:$I$32)</f>
        <v>21</v>
      </c>
    </row>
    <row r="4" spans="1:12">
      <c r="A4" s="1">
        <v>102</v>
      </c>
      <c r="B4" s="1" t="s">
        <v>6</v>
      </c>
      <c r="C4" s="2">
        <v>49</v>
      </c>
      <c r="D4" s="2">
        <v>36</v>
      </c>
      <c r="E4" s="2">
        <v>44</v>
      </c>
      <c r="F4" s="2">
        <v>55</v>
      </c>
      <c r="G4" s="2">
        <v>94</v>
      </c>
      <c r="H4" s="2">
        <f>SUM(C4:G4)</f>
        <v>278</v>
      </c>
      <c r="I4" s="2">
        <f>AVERAGE(C4:G4)</f>
        <v>55.6</v>
      </c>
      <c r="J4" s="2" t="str">
        <f>IF(I4&gt;=90,"AA",IF(I4&gt;=80,"A+",IF(I4&gt;=70,"A",IF(I4&gt;=60,"B+",IF(I4&gt;=50,"B",IF(I4&gt;=40,"C+",IF(I4&gt;=30,"C",IF(I4&lt;=30,"Fail"))))))))</f>
        <v>B</v>
      </c>
      <c r="K4" s="2" t="str">
        <f>IF(I4&gt;50,"PASS","FAIL")</f>
        <v>PASS</v>
      </c>
      <c r="L4" s="2">
        <f>RANK(I4,$I$3:$I$32)</f>
        <v>23</v>
      </c>
    </row>
    <row r="5" spans="1:12">
      <c r="A5" s="1">
        <v>103</v>
      </c>
      <c r="B5" s="1" t="s">
        <v>7</v>
      </c>
      <c r="C5" s="2">
        <v>38</v>
      </c>
      <c r="D5" s="2">
        <v>47</v>
      </c>
      <c r="E5" s="2">
        <v>92</v>
      </c>
      <c r="F5" s="2">
        <v>33</v>
      </c>
      <c r="G5" s="2">
        <v>90</v>
      </c>
      <c r="H5" s="2">
        <f>SUM(C5:G5)</f>
        <v>300</v>
      </c>
      <c r="I5" s="2">
        <f>AVERAGE(C5:G5)</f>
        <v>60</v>
      </c>
      <c r="J5" s="2" t="str">
        <f>IF(I5&gt;=90,"AA",IF(I5&gt;=80,"A+",IF(I5&gt;=70,"A",IF(I5&gt;=60,"B+",IF(I5&gt;=50,"B",IF(I5&gt;=40,"C+",IF(I5&gt;=30,"C",IF(I5&lt;=30,"Fail"))))))))</f>
        <v>B+</v>
      </c>
      <c r="K5" s="2" t="str">
        <f>IF(I5&gt;50,"PASS","FAIL")</f>
        <v>PASS</v>
      </c>
      <c r="L5" s="2">
        <f>RANK(I5,$I$3:$I$32)</f>
        <v>18</v>
      </c>
    </row>
    <row r="6" spans="1:12">
      <c r="A6" s="1">
        <v>104</v>
      </c>
      <c r="B6" s="1" t="s">
        <v>9</v>
      </c>
      <c r="C6" s="2">
        <v>92</v>
      </c>
      <c r="D6" s="2">
        <v>89</v>
      </c>
      <c r="E6" s="2">
        <v>84</v>
      </c>
      <c r="F6" s="2">
        <v>85</v>
      </c>
      <c r="G6" s="2">
        <v>84</v>
      </c>
      <c r="H6" s="2">
        <f>SUM(C6:G6)</f>
        <v>434</v>
      </c>
      <c r="I6" s="2">
        <f>AVERAGE(C6:G6)</f>
        <v>86.8</v>
      </c>
      <c r="J6" s="2" t="str">
        <f>IF(I6&gt;=90,"AA",IF(I6&gt;=80,"A+",IF(I6&gt;=70,"A",IF(I6&gt;=60,"B+",IF(I6&gt;=50,"B",IF(I6&gt;=40,"C+",IF(I6&gt;=30,"C",IF(I6&lt;=30,"Fail"))))))))</f>
        <v>A+</v>
      </c>
      <c r="K6" s="2" t="str">
        <f>IF(I6&gt;50,"PASS","FAIL")</f>
        <v>PASS</v>
      </c>
      <c r="L6" s="2">
        <f>RANK(I6,$I$3:$I$32)</f>
        <v>2</v>
      </c>
    </row>
    <row r="7" spans="1:12">
      <c r="A7" s="1">
        <v>105</v>
      </c>
      <c r="B7" s="6" t="s">
        <v>17</v>
      </c>
      <c r="C7" s="2">
        <v>85</v>
      </c>
      <c r="D7" s="2">
        <v>86</v>
      </c>
      <c r="E7" s="2">
        <v>70</v>
      </c>
      <c r="F7" s="2">
        <v>34</v>
      </c>
      <c r="G7" s="2">
        <v>73</v>
      </c>
      <c r="H7" s="2">
        <f>SUM(C7:G7)</f>
        <v>348</v>
      </c>
      <c r="I7" s="2">
        <f>AVERAGE(C7:G7)</f>
        <v>69.599999999999994</v>
      </c>
      <c r="J7" s="2" t="str">
        <f>IF(I7&gt;=90,"AA",IF(I7&gt;=80,"A+",IF(I7&gt;=70,"A",IF(I7&gt;=60,"B+",IF(I7&gt;=50,"B",IF(I7&gt;=40,"C+",IF(I7&gt;=30,"C",IF(I7&lt;=30,"Fail"))))))))</f>
        <v>B+</v>
      </c>
      <c r="K7" s="2" t="str">
        <f>IF(I7&gt;50,"PASS","FAIL")</f>
        <v>PASS</v>
      </c>
      <c r="L7" s="2">
        <f>RANK(I7,$I$3:$I$32)</f>
        <v>8</v>
      </c>
    </row>
    <row r="8" spans="1:12">
      <c r="A8" s="1">
        <v>106</v>
      </c>
      <c r="B8" s="6" t="s">
        <v>18</v>
      </c>
      <c r="C8" s="2">
        <v>50</v>
      </c>
      <c r="D8" s="2">
        <v>81</v>
      </c>
      <c r="E8" s="2">
        <v>42</v>
      </c>
      <c r="F8" s="2">
        <v>50</v>
      </c>
      <c r="G8" s="2">
        <v>36</v>
      </c>
      <c r="H8" s="2">
        <f>SUM(C8:G8)</f>
        <v>259</v>
      </c>
      <c r="I8" s="2">
        <f>AVERAGE(C8:G8)</f>
        <v>51.8</v>
      </c>
      <c r="J8" s="2" t="str">
        <f>IF(I8&gt;=90,"AA",IF(I8&gt;=80,"A+",IF(I8&gt;=70,"A",IF(I8&gt;=60,"B+",IF(I8&gt;=50,"B",IF(I8&gt;=40,"C+",IF(I8&gt;=30,"C",IF(I8&lt;=30,"Fail"))))))))</f>
        <v>B</v>
      </c>
      <c r="K8" s="2" t="str">
        <f>IF(I8&gt;50,"PASS","FAIL")</f>
        <v>PASS</v>
      </c>
      <c r="L8" s="2">
        <f>RANK(I8,$I$3:$I$32)</f>
        <v>28</v>
      </c>
    </row>
    <row r="9" spans="1:12">
      <c r="A9" s="1">
        <v>107</v>
      </c>
      <c r="B9" s="6" t="s">
        <v>19</v>
      </c>
      <c r="C9" s="2">
        <v>38</v>
      </c>
      <c r="D9" s="2">
        <v>43</v>
      </c>
      <c r="E9" s="2">
        <v>68</v>
      </c>
      <c r="F9" s="2">
        <v>65</v>
      </c>
      <c r="G9" s="2">
        <v>95</v>
      </c>
      <c r="H9" s="2">
        <f>SUM(C9:G9)</f>
        <v>309</v>
      </c>
      <c r="I9" s="2">
        <f>AVERAGE(C9:G9)</f>
        <v>61.8</v>
      </c>
      <c r="J9" s="2" t="str">
        <f>IF(I9&gt;=90,"AA",IF(I9&gt;=80,"A+",IF(I9&gt;=70,"A",IF(I9&gt;=60,"B+",IF(I9&gt;=50,"B",IF(I9&gt;=40,"C+",IF(I9&gt;=30,"C",IF(I9&lt;=30,"Fail"))))))))</f>
        <v>B+</v>
      </c>
      <c r="K9" s="2" t="str">
        <f>IF(I9&gt;50,"PASS","FAIL")</f>
        <v>PASS</v>
      </c>
      <c r="L9" s="2">
        <f>RANK(I9,$I$3:$I$32)</f>
        <v>17</v>
      </c>
    </row>
    <row r="10" spans="1:12">
      <c r="A10" s="1">
        <v>108</v>
      </c>
      <c r="B10" s="6" t="s">
        <v>20</v>
      </c>
      <c r="C10" s="2">
        <v>88</v>
      </c>
      <c r="D10" s="2">
        <v>56</v>
      </c>
      <c r="E10" s="2">
        <v>75</v>
      </c>
      <c r="F10" s="2">
        <v>82</v>
      </c>
      <c r="G10" s="2">
        <v>73</v>
      </c>
      <c r="H10" s="2">
        <f>SUM(C10:G10)</f>
        <v>374</v>
      </c>
      <c r="I10" s="2">
        <f>AVERAGE(C10:G10)</f>
        <v>74.8</v>
      </c>
      <c r="J10" s="2" t="str">
        <f>IF(I10&gt;=90,"AA",IF(I10&gt;=80,"A+",IF(I10&gt;=70,"A",IF(I10&gt;=60,"B+",IF(I10&gt;=50,"B",IF(I10&gt;=40,"C+",IF(I10&gt;=30,"C",IF(I10&lt;=30,"Fail"))))))))</f>
        <v>A</v>
      </c>
      <c r="K10" s="2" t="str">
        <f>IF(I10&gt;50,"PASS","FAIL")</f>
        <v>PASS</v>
      </c>
      <c r="L10" s="2">
        <f>RANK(I10,$I$3:$I$32)</f>
        <v>4</v>
      </c>
    </row>
    <row r="11" spans="1:12">
      <c r="A11" s="1">
        <v>109</v>
      </c>
      <c r="B11" s="6" t="s">
        <v>21</v>
      </c>
      <c r="C11" s="2">
        <v>56</v>
      </c>
      <c r="D11" s="2">
        <v>45</v>
      </c>
      <c r="E11" s="2">
        <v>55</v>
      </c>
      <c r="F11" s="2">
        <v>78</v>
      </c>
      <c r="G11" s="2">
        <v>66</v>
      </c>
      <c r="H11" s="2">
        <f>SUM(C11:G11)</f>
        <v>300</v>
      </c>
      <c r="I11" s="2">
        <f>AVERAGE(C11:G11)</f>
        <v>60</v>
      </c>
      <c r="J11" s="2" t="str">
        <f>IF(I11&gt;=90,"AA",IF(I11&gt;=80,"A+",IF(I11&gt;=70,"A",IF(I11&gt;=60,"B+",IF(I11&gt;=50,"B",IF(I11&gt;=40,"C+",IF(I11&gt;=30,"C",IF(I11&lt;=30,"Fail"))))))))</f>
        <v>B+</v>
      </c>
      <c r="K11" s="2" t="str">
        <f>IF(I11&gt;50,"PASS","FAIL")</f>
        <v>PASS</v>
      </c>
      <c r="L11" s="2">
        <f>RANK(I11,$I$3:$I$32)</f>
        <v>18</v>
      </c>
    </row>
    <row r="12" spans="1:12">
      <c r="A12" s="1">
        <v>110</v>
      </c>
      <c r="B12" s="6" t="s">
        <v>22</v>
      </c>
      <c r="C12" s="2">
        <v>54</v>
      </c>
      <c r="D12" s="2">
        <v>97</v>
      </c>
      <c r="E12" s="2">
        <v>51</v>
      </c>
      <c r="F12" s="2">
        <v>52</v>
      </c>
      <c r="G12" s="2">
        <v>81</v>
      </c>
      <c r="H12" s="2">
        <f>SUM(C12:G12)</f>
        <v>335</v>
      </c>
      <c r="I12" s="2">
        <f>AVERAGE(C12:G12)</f>
        <v>67</v>
      </c>
      <c r="J12" s="2" t="str">
        <f>IF(I12&gt;=90,"AA",IF(I12&gt;=80,"A+",IF(I12&gt;=70,"A",IF(I12&gt;=60,"B+",IF(I12&gt;=50,"B",IF(I12&gt;=40,"C+",IF(I12&gt;=30,"C",IF(I12&lt;=30,"Fail"))))))))</f>
        <v>B+</v>
      </c>
      <c r="K12" s="2" t="str">
        <f>IF(I12&gt;50,"PASS","FAIL")</f>
        <v>PASS</v>
      </c>
      <c r="L12" s="2">
        <f>RANK(I12,$I$3:$I$32)</f>
        <v>10</v>
      </c>
    </row>
    <row r="13" spans="1:12">
      <c r="A13" s="1">
        <v>111</v>
      </c>
      <c r="B13" s="6" t="s">
        <v>23</v>
      </c>
      <c r="C13" s="2">
        <v>39</v>
      </c>
      <c r="D13" s="2">
        <v>54</v>
      </c>
      <c r="E13" s="2">
        <v>99</v>
      </c>
      <c r="F13" s="2">
        <v>39</v>
      </c>
      <c r="G13" s="2">
        <v>59</v>
      </c>
      <c r="H13" s="2">
        <f>SUM(C13:G13)</f>
        <v>290</v>
      </c>
      <c r="I13" s="2">
        <f>AVERAGE(C13:G13)</f>
        <v>58</v>
      </c>
      <c r="J13" s="2" t="str">
        <f>IF(I13&gt;=90,"AA",IF(I13&gt;=80,"A+",IF(I13&gt;=70,"A",IF(I13&gt;=60,"B+",IF(I13&gt;=50,"B",IF(I13&gt;=40,"C+",IF(I13&gt;=30,"C",IF(I13&lt;=30,"Fail"))))))))</f>
        <v>B</v>
      </c>
      <c r="K13" s="2" t="str">
        <f>IF(I13&gt;50,"PASS","FAIL")</f>
        <v>PASS</v>
      </c>
      <c r="L13" s="2">
        <f>RANK(I13,$I$3:$I$32)</f>
        <v>22</v>
      </c>
    </row>
    <row r="14" spans="1:12">
      <c r="A14" s="1">
        <v>112</v>
      </c>
      <c r="B14" s="6" t="s">
        <v>24</v>
      </c>
      <c r="C14" s="2">
        <v>84</v>
      </c>
      <c r="D14" s="2">
        <v>43</v>
      </c>
      <c r="E14" s="2">
        <v>54</v>
      </c>
      <c r="F14" s="2">
        <v>90</v>
      </c>
      <c r="G14" s="2">
        <v>81</v>
      </c>
      <c r="H14" s="2">
        <f>SUM(C14:G14)</f>
        <v>352</v>
      </c>
      <c r="I14" s="2">
        <f>AVERAGE(C14:G14)</f>
        <v>70.400000000000006</v>
      </c>
      <c r="J14" s="2" t="str">
        <f>IF(I14&gt;=90,"AA",IF(I14&gt;=80,"A+",IF(I14&gt;=70,"A",IF(I14&gt;=60,"B+",IF(I14&gt;=50,"B",IF(I14&gt;=40,"C+",IF(I14&gt;=30,"C",IF(I14&lt;=30,"Fail"))))))))</f>
        <v>A</v>
      </c>
      <c r="K14" s="2" t="str">
        <f>IF(I14&gt;50,"PASS","FAIL")</f>
        <v>PASS</v>
      </c>
      <c r="L14" s="2">
        <f>RANK(I14,$I$3:$I$32)</f>
        <v>7</v>
      </c>
    </row>
    <row r="15" spans="1:12">
      <c r="A15" s="1">
        <v>113</v>
      </c>
      <c r="B15" s="6" t="s">
        <v>25</v>
      </c>
      <c r="C15" s="2">
        <v>67</v>
      </c>
      <c r="D15" s="2">
        <v>48</v>
      </c>
      <c r="E15" s="2">
        <v>81</v>
      </c>
      <c r="F15" s="2">
        <v>59</v>
      </c>
      <c r="G15" s="2">
        <v>93</v>
      </c>
      <c r="H15" s="2">
        <f>SUM(C15:G15)</f>
        <v>348</v>
      </c>
      <c r="I15" s="2">
        <f>AVERAGE(C15:G15)</f>
        <v>69.599999999999994</v>
      </c>
      <c r="J15" s="2" t="str">
        <f>IF(I15&gt;=90,"AA",IF(I15&gt;=80,"A+",IF(I15&gt;=70,"A",IF(I15&gt;=60,"B+",IF(I15&gt;=50,"B",IF(I15&gt;=40,"C+",IF(I15&gt;=30,"C",IF(I15&lt;=30,"Fail"))))))))</f>
        <v>B+</v>
      </c>
      <c r="K15" s="2" t="str">
        <f>IF(I15&gt;50,"PASS","FAIL")</f>
        <v>PASS</v>
      </c>
      <c r="L15" s="2">
        <f>RANK(I15,$I$3:$I$32)</f>
        <v>8</v>
      </c>
    </row>
    <row r="16" spans="1:12">
      <c r="A16" s="1">
        <v>114</v>
      </c>
      <c r="B16" s="6" t="s">
        <v>26</v>
      </c>
      <c r="C16" s="2">
        <v>68</v>
      </c>
      <c r="D16" s="2">
        <v>95</v>
      </c>
      <c r="E16" s="2">
        <v>57</v>
      </c>
      <c r="F16" s="2">
        <v>64</v>
      </c>
      <c r="G16" s="2">
        <v>35</v>
      </c>
      <c r="H16" s="2">
        <f>SUM(C16:G16)</f>
        <v>319</v>
      </c>
      <c r="I16" s="2">
        <f>AVERAGE(C16:G16)</f>
        <v>63.8</v>
      </c>
      <c r="J16" s="2" t="str">
        <f>IF(I16&gt;=90,"AA",IF(I16&gt;=80,"A+",IF(I16&gt;=70,"A",IF(I16&gt;=60,"B+",IF(I16&gt;=50,"B",IF(I16&gt;=40,"C+",IF(I16&gt;=30,"C",IF(I16&lt;=30,"Fail"))))))))</f>
        <v>B+</v>
      </c>
      <c r="K16" s="2" t="str">
        <f>IF(I16&gt;50,"PASS","FAIL")</f>
        <v>PASS</v>
      </c>
      <c r="L16" s="2">
        <f>RANK(I16,$I$3:$I$32)</f>
        <v>15</v>
      </c>
    </row>
    <row r="17" spans="1:12">
      <c r="A17" s="1">
        <v>115</v>
      </c>
      <c r="B17" s="7" t="s">
        <v>27</v>
      </c>
      <c r="C17" s="2">
        <v>82</v>
      </c>
      <c r="D17" s="2">
        <v>43</v>
      </c>
      <c r="E17" s="2">
        <v>33</v>
      </c>
      <c r="F17" s="2">
        <v>40</v>
      </c>
      <c r="G17" s="2">
        <v>65</v>
      </c>
      <c r="H17" s="2">
        <f>SUM(C17:G17)</f>
        <v>263</v>
      </c>
      <c r="I17" s="2">
        <f>AVERAGE(C17:G17)</f>
        <v>52.6</v>
      </c>
      <c r="J17" s="2" t="str">
        <f>IF(I17&gt;=90,"AA",IF(I17&gt;=80,"A+",IF(I17&gt;=70,"A",IF(I17&gt;=60,"B+",IF(I17&gt;=50,"B",IF(I17&gt;=40,"C+",IF(I17&gt;=30,"C",IF(I17&lt;=30,"Fail"))))))))</f>
        <v>B</v>
      </c>
      <c r="K17" s="2" t="str">
        <f>IF(I17&gt;50,"PASS","FAIL")</f>
        <v>PASS</v>
      </c>
      <c r="L17" s="2">
        <f>RANK(I17,$I$3:$I$32)</f>
        <v>27</v>
      </c>
    </row>
    <row r="18" spans="1:12">
      <c r="A18" s="1">
        <v>116</v>
      </c>
      <c r="B18" s="6" t="s">
        <v>28</v>
      </c>
      <c r="C18" s="2">
        <v>38</v>
      </c>
      <c r="D18" s="2">
        <v>99</v>
      </c>
      <c r="E18" s="2">
        <v>36</v>
      </c>
      <c r="F18" s="2">
        <v>68</v>
      </c>
      <c r="G18" s="2">
        <v>57</v>
      </c>
      <c r="H18" s="2">
        <f>SUM(C18:G18)</f>
        <v>298</v>
      </c>
      <c r="I18" s="2">
        <f>AVERAGE(C18:G18)</f>
        <v>59.6</v>
      </c>
      <c r="J18" s="2" t="str">
        <f>IF(I18&gt;=90,"AA",IF(I18&gt;=80,"A+",IF(I18&gt;=70,"A",IF(I18&gt;=60,"B+",IF(I18&gt;=50,"B",IF(I18&gt;=40,"C+",IF(I18&gt;=30,"C",IF(I18&lt;=30,"Fail"))))))))</f>
        <v>B</v>
      </c>
      <c r="K18" s="2" t="str">
        <f>IF(I18&gt;50,"PASS","FAIL")</f>
        <v>PASS</v>
      </c>
      <c r="L18" s="2">
        <f>RANK(I18,$I$3:$I$32)</f>
        <v>20</v>
      </c>
    </row>
    <row r="19" spans="1:12">
      <c r="A19" s="1">
        <v>117</v>
      </c>
      <c r="B19" s="6" t="s">
        <v>29</v>
      </c>
      <c r="C19" s="2">
        <v>93</v>
      </c>
      <c r="D19" s="2">
        <v>89</v>
      </c>
      <c r="E19" s="2">
        <v>34</v>
      </c>
      <c r="F19" s="2">
        <v>41</v>
      </c>
      <c r="G19" s="2">
        <v>59</v>
      </c>
      <c r="H19" s="2">
        <f>SUM(C19:G19)</f>
        <v>316</v>
      </c>
      <c r="I19" s="2">
        <f>AVERAGE(C19:G19)</f>
        <v>63.2</v>
      </c>
      <c r="J19" s="2" t="str">
        <f>IF(I19&gt;=90,"AA",IF(I19&gt;=80,"A+",IF(I19&gt;=70,"A",IF(I19&gt;=60,"B+",IF(I19&gt;=50,"B",IF(I19&gt;=40,"C+",IF(I19&gt;=30,"C",IF(I19&lt;=30,"Fail"))))))))</f>
        <v>B+</v>
      </c>
      <c r="K19" s="2" t="str">
        <f>IF(I19&gt;50,"PASS","FAIL")</f>
        <v>PASS</v>
      </c>
      <c r="L19" s="2">
        <f>RANK(I19,$I$3:$I$32)</f>
        <v>16</v>
      </c>
    </row>
    <row r="20" spans="1:12">
      <c r="A20" s="1">
        <v>118</v>
      </c>
      <c r="B20" s="6" t="s">
        <v>30</v>
      </c>
      <c r="C20" s="2">
        <v>71</v>
      </c>
      <c r="D20" s="2">
        <v>82</v>
      </c>
      <c r="E20" s="2">
        <v>77</v>
      </c>
      <c r="F20" s="2">
        <v>62</v>
      </c>
      <c r="G20" s="2">
        <v>63</v>
      </c>
      <c r="H20" s="2">
        <f>SUM(C20:G20)</f>
        <v>355</v>
      </c>
      <c r="I20" s="2">
        <f>AVERAGE(C20:G20)</f>
        <v>71</v>
      </c>
      <c r="J20" s="2" t="str">
        <f>IF(I20&gt;=90,"AA",IF(I20&gt;=80,"A+",IF(I20&gt;=70,"A",IF(I20&gt;=60,"B+",IF(I20&gt;=50,"B",IF(I20&gt;=40,"C+",IF(I20&gt;=30,"C",IF(I20&lt;=30,"Fail"))))))))</f>
        <v>A</v>
      </c>
      <c r="K20" s="2" t="str">
        <f>IF(I20&gt;50,"PASS","FAIL")</f>
        <v>PASS</v>
      </c>
      <c r="L20" s="2">
        <f>RANK(I20,$I$3:$I$32)</f>
        <v>6</v>
      </c>
    </row>
    <row r="21" spans="1:12">
      <c r="A21" s="1">
        <v>119</v>
      </c>
      <c r="B21" s="6" t="s">
        <v>31</v>
      </c>
      <c r="C21" s="2">
        <v>51</v>
      </c>
      <c r="D21" s="2">
        <v>68</v>
      </c>
      <c r="E21" s="2">
        <v>63</v>
      </c>
      <c r="F21" s="2">
        <v>47</v>
      </c>
      <c r="G21" s="2">
        <v>49</v>
      </c>
      <c r="H21" s="2">
        <f>SUM(C21:G21)</f>
        <v>278</v>
      </c>
      <c r="I21" s="2">
        <f>AVERAGE(C21:G21)</f>
        <v>55.6</v>
      </c>
      <c r="J21" s="2" t="str">
        <f>IF(I21&gt;=90,"AA",IF(I21&gt;=80,"A+",IF(I21&gt;=70,"A",IF(I21&gt;=60,"B+",IF(I21&gt;=50,"B",IF(I21&gt;=40,"C+",IF(I21&gt;=30,"C",IF(I21&lt;=30,"Fail"))))))))</f>
        <v>B</v>
      </c>
      <c r="K21" s="2" t="str">
        <f>IF(I21&gt;50,"PASS","FAIL")</f>
        <v>PASS</v>
      </c>
      <c r="L21" s="2">
        <f>RANK(I21,$I$3:$I$32)</f>
        <v>23</v>
      </c>
    </row>
    <row r="22" spans="1:12">
      <c r="A22" s="1">
        <v>120</v>
      </c>
      <c r="B22" s="6" t="s">
        <v>32</v>
      </c>
      <c r="C22" s="2">
        <v>50</v>
      </c>
      <c r="D22" s="2">
        <v>33</v>
      </c>
      <c r="E22" s="2">
        <v>41</v>
      </c>
      <c r="F22" s="2">
        <v>56</v>
      </c>
      <c r="G22" s="2">
        <v>90</v>
      </c>
      <c r="H22" s="2">
        <f>SUM(C22:G22)</f>
        <v>270</v>
      </c>
      <c r="I22" s="2">
        <f>AVERAGE(C22:G22)</f>
        <v>54</v>
      </c>
      <c r="J22" s="2" t="str">
        <f>IF(I22&gt;=90,"AA",IF(I22&gt;=80,"A+",IF(I22&gt;=70,"A",IF(I22&gt;=60,"B+",IF(I22&gt;=50,"B",IF(I22&gt;=40,"C+",IF(I22&gt;=30,"C",IF(I22&lt;=30,"Fail"))))))))</f>
        <v>B</v>
      </c>
      <c r="K22" s="2" t="str">
        <f>IF(I22&gt;50,"PASS","FAIL")</f>
        <v>PASS</v>
      </c>
      <c r="L22" s="2">
        <f>RANK(I22,$I$3:$I$32)</f>
        <v>26</v>
      </c>
    </row>
    <row r="23" spans="1:12">
      <c r="A23" s="1">
        <v>121</v>
      </c>
      <c r="B23" s="6" t="s">
        <v>33</v>
      </c>
      <c r="C23" s="2">
        <v>86</v>
      </c>
      <c r="D23" s="2">
        <v>58</v>
      </c>
      <c r="E23" s="2">
        <v>97</v>
      </c>
      <c r="F23" s="2">
        <v>99</v>
      </c>
      <c r="G23" s="2">
        <v>97</v>
      </c>
      <c r="H23" s="2">
        <f>SUM(C23:G23)</f>
        <v>437</v>
      </c>
      <c r="I23" s="2">
        <f>AVERAGE(C23:G23)</f>
        <v>87.4</v>
      </c>
      <c r="J23" s="2" t="str">
        <f>IF(I23&gt;=90,"AA",IF(I23&gt;=80,"A+",IF(I23&gt;=70,"A",IF(I23&gt;=60,"B+",IF(I23&gt;=50,"B",IF(I23&gt;=40,"C+",IF(I23&gt;=30,"C",IF(I23&lt;=30,"Fail"))))))))</f>
        <v>A+</v>
      </c>
      <c r="K23" s="2" t="str">
        <f>IF(I23&gt;50,"PASS","FAIL")</f>
        <v>PASS</v>
      </c>
      <c r="L23" s="2">
        <f>RANK(I23,$I$3:$I$32)</f>
        <v>1</v>
      </c>
    </row>
    <row r="24" spans="1:12">
      <c r="A24" s="1">
        <v>122</v>
      </c>
      <c r="B24" s="6" t="s">
        <v>34</v>
      </c>
      <c r="C24" s="2">
        <v>88</v>
      </c>
      <c r="D24" s="2">
        <v>90</v>
      </c>
      <c r="E24" s="2">
        <v>44</v>
      </c>
      <c r="F24" s="2">
        <v>99</v>
      </c>
      <c r="G24" s="2">
        <v>67</v>
      </c>
      <c r="H24" s="2">
        <f>SUM(C24:G24)</f>
        <v>388</v>
      </c>
      <c r="I24" s="2">
        <f>AVERAGE(C24:G24)</f>
        <v>77.599999999999994</v>
      </c>
      <c r="J24" s="2" t="str">
        <f>IF(I24&gt;=90,"AA",IF(I24&gt;=80,"A+",IF(I24&gt;=70,"A",IF(I24&gt;=60,"B+",IF(I24&gt;=50,"B",IF(I24&gt;=40,"C+",IF(I24&gt;=30,"C",IF(I24&lt;=30,"Fail"))))))))</f>
        <v>A</v>
      </c>
      <c r="K24" s="2" t="str">
        <f>IF(I24&gt;50,"PASS","FAIL")</f>
        <v>PASS</v>
      </c>
      <c r="L24" s="2">
        <f>RANK(I24,$I$3:$I$32)</f>
        <v>3</v>
      </c>
    </row>
    <row r="25" spans="1:12">
      <c r="A25" s="1">
        <v>123</v>
      </c>
      <c r="B25" s="6" t="s">
        <v>35</v>
      </c>
      <c r="C25" s="2">
        <v>56</v>
      </c>
      <c r="D25" s="2">
        <v>42</v>
      </c>
      <c r="E25" s="2">
        <v>42</v>
      </c>
      <c r="F25" s="2">
        <v>51</v>
      </c>
      <c r="G25" s="2">
        <v>67</v>
      </c>
      <c r="H25" s="2">
        <f>SUM(C25:G25)</f>
        <v>258</v>
      </c>
      <c r="I25" s="2">
        <f>AVERAGE(C25:G25)</f>
        <v>51.6</v>
      </c>
      <c r="J25" s="2" t="str">
        <f>IF(I25&gt;=90,"AA",IF(I25&gt;=80,"A+",IF(I25&gt;=70,"A",IF(I25&gt;=60,"B+",IF(I25&gt;=50,"B",IF(I25&gt;=40,"C+",IF(I25&gt;=30,"C",IF(I25&lt;=30,"Fail"))))))))</f>
        <v>B</v>
      </c>
      <c r="K25" s="2" t="str">
        <f>IF(I25&gt;50,"PASS","FAIL")</f>
        <v>PASS</v>
      </c>
      <c r="L25" s="2">
        <f>RANK(I25,$I$3:$I$32)</f>
        <v>29</v>
      </c>
    </row>
    <row r="26" spans="1:12">
      <c r="A26" s="1">
        <v>124</v>
      </c>
      <c r="B26" s="6" t="s">
        <v>36</v>
      </c>
      <c r="C26" s="2">
        <v>39</v>
      </c>
      <c r="D26" s="2">
        <v>83</v>
      </c>
      <c r="E26" s="2">
        <v>76</v>
      </c>
      <c r="F26" s="2">
        <v>40</v>
      </c>
      <c r="G26" s="2">
        <v>83</v>
      </c>
      <c r="H26" s="2">
        <f>SUM(C26:G26)</f>
        <v>321</v>
      </c>
      <c r="I26" s="2">
        <f>AVERAGE(C26:G26)</f>
        <v>64.2</v>
      </c>
      <c r="J26" s="2" t="str">
        <f>IF(I26&gt;=90,"AA",IF(I26&gt;=80,"A+",IF(I26&gt;=70,"A",IF(I26&gt;=60,"B+",IF(I26&gt;=50,"B",IF(I26&gt;=40,"C+",IF(I26&gt;=30,"C",IF(I26&lt;=30,"Fail"))))))))</f>
        <v>B+</v>
      </c>
      <c r="K26" s="2" t="str">
        <f>IF(I26&gt;50,"PASS","FAIL")</f>
        <v>PASS</v>
      </c>
      <c r="L26" s="2">
        <f>RANK(I26,$I$3:$I$32)</f>
        <v>13</v>
      </c>
    </row>
    <row r="27" spans="1:12">
      <c r="A27" s="1">
        <v>125</v>
      </c>
      <c r="B27" s="6" t="s">
        <v>37</v>
      </c>
      <c r="C27" s="2">
        <v>46</v>
      </c>
      <c r="D27" s="2">
        <v>47</v>
      </c>
      <c r="E27" s="2">
        <v>63</v>
      </c>
      <c r="F27" s="2">
        <v>45</v>
      </c>
      <c r="G27" s="2">
        <v>36</v>
      </c>
      <c r="H27" s="2">
        <f>SUM(C27:G27)</f>
        <v>237</v>
      </c>
      <c r="I27" s="2">
        <f>AVERAGE(C27:G27)</f>
        <v>47.4</v>
      </c>
      <c r="J27" s="2" t="str">
        <f>IF(I27&gt;=90,"AA",IF(I27&gt;=80,"A+",IF(I27&gt;=70,"A",IF(I27&gt;=60,"B+",IF(I27&gt;=50,"B",IF(I27&gt;=40,"C+",IF(I27&gt;=30,"C",IF(I27&lt;=30,"Fail"))))))))</f>
        <v>C+</v>
      </c>
      <c r="K27" s="2" t="str">
        <f>IF(I27&gt;50,"PASS","FAIL")</f>
        <v>FAIL</v>
      </c>
      <c r="L27" s="2">
        <f>RANK(I27,$I$3:$I$32)</f>
        <v>30</v>
      </c>
    </row>
    <row r="28" spans="1:12">
      <c r="A28" s="1">
        <v>126</v>
      </c>
      <c r="B28" s="6" t="s">
        <v>38</v>
      </c>
      <c r="C28" s="2">
        <v>87</v>
      </c>
      <c r="D28" s="2">
        <v>85</v>
      </c>
      <c r="E28" s="2">
        <v>79</v>
      </c>
      <c r="F28" s="2">
        <v>62</v>
      </c>
      <c r="G28" s="2">
        <v>45</v>
      </c>
      <c r="H28" s="2">
        <f>SUM(C28:G28)</f>
        <v>358</v>
      </c>
      <c r="I28" s="2">
        <f>AVERAGE(C28:G28)</f>
        <v>71.599999999999994</v>
      </c>
      <c r="J28" s="2" t="str">
        <f>IF(I28&gt;=90,"AA",IF(I28&gt;=80,"A+",IF(I28&gt;=70,"A",IF(I28&gt;=60,"B+",IF(I28&gt;=50,"B",IF(I28&gt;=40,"C+",IF(I28&gt;=30,"C",IF(I28&lt;=30,"Fail"))))))))</f>
        <v>A</v>
      </c>
      <c r="K28" s="2" t="str">
        <f>IF(I28&gt;50,"PASS","FAIL")</f>
        <v>PASS</v>
      </c>
      <c r="L28" s="2">
        <f>RANK(I28,$I$3:$I$32)</f>
        <v>5</v>
      </c>
    </row>
    <row r="29" spans="1:12">
      <c r="A29" s="1">
        <v>127</v>
      </c>
      <c r="B29" s="6" t="s">
        <v>39</v>
      </c>
      <c r="C29" s="2">
        <v>47</v>
      </c>
      <c r="D29" s="2">
        <v>50</v>
      </c>
      <c r="E29" s="2">
        <v>72</v>
      </c>
      <c r="F29" s="2">
        <v>71</v>
      </c>
      <c r="G29" s="2">
        <v>33</v>
      </c>
      <c r="H29" s="2">
        <f>SUM(C29:G29)</f>
        <v>273</v>
      </c>
      <c r="I29" s="2">
        <f>AVERAGE(C29:G29)</f>
        <v>54.6</v>
      </c>
      <c r="J29" s="2" t="str">
        <f>IF(I29&gt;=90,"AA",IF(I29&gt;=80,"A+",IF(I29&gt;=70,"A",IF(I29&gt;=60,"B+",IF(I29&gt;=50,"B",IF(I29&gt;=40,"C+",IF(I29&gt;=30,"C",IF(I29&lt;=30,"Fail"))))))))</f>
        <v>B</v>
      </c>
      <c r="K29" s="2" t="str">
        <f>IF(I29&gt;50,"PASS","FAIL")</f>
        <v>PASS</v>
      </c>
      <c r="L29" s="2">
        <f>RANK(I29,$I$3:$I$32)</f>
        <v>25</v>
      </c>
    </row>
    <row r="30" spans="1:12">
      <c r="A30" s="1">
        <v>128</v>
      </c>
      <c r="B30" s="6" t="s">
        <v>40</v>
      </c>
      <c r="C30" s="2">
        <v>41</v>
      </c>
      <c r="D30" s="2">
        <v>68</v>
      </c>
      <c r="E30" s="2">
        <v>67</v>
      </c>
      <c r="F30" s="2">
        <v>51</v>
      </c>
      <c r="G30" s="2">
        <v>93</v>
      </c>
      <c r="H30" s="2">
        <f>SUM(C30:G30)</f>
        <v>320</v>
      </c>
      <c r="I30" s="2">
        <f>AVERAGE(C30:G30)</f>
        <v>64</v>
      </c>
      <c r="J30" s="2" t="str">
        <f>IF(I30&gt;=90,"AA",IF(I30&gt;=80,"A+",IF(I30&gt;=70,"A",IF(I30&gt;=60,"B+",IF(I30&gt;=50,"B",IF(I30&gt;=40,"C+",IF(I30&gt;=30,"C",IF(I30&lt;=30,"Fail"))))))))</f>
        <v>B+</v>
      </c>
      <c r="K30" s="2" t="str">
        <f>IF(I30&gt;50,"PASS","FAIL")</f>
        <v>PASS</v>
      </c>
      <c r="L30" s="2">
        <f>RANK(I30,$I$3:$I$32)</f>
        <v>14</v>
      </c>
    </row>
    <row r="31" spans="1:12">
      <c r="A31" s="1">
        <v>129</v>
      </c>
      <c r="B31" s="6" t="s">
        <v>41</v>
      </c>
      <c r="C31" s="2">
        <v>79</v>
      </c>
      <c r="D31" s="2">
        <v>58</v>
      </c>
      <c r="E31" s="2">
        <v>99</v>
      </c>
      <c r="F31" s="2">
        <v>42</v>
      </c>
      <c r="G31" s="2">
        <v>50</v>
      </c>
      <c r="H31" s="2">
        <f>SUM(C31:G31)</f>
        <v>328</v>
      </c>
      <c r="I31" s="2">
        <f>AVERAGE(C31:G31)</f>
        <v>65.599999999999994</v>
      </c>
      <c r="J31" s="2" t="str">
        <f>IF(I31&gt;=90,"AA",IF(I31&gt;=80,"A+",IF(I31&gt;=70,"A",IF(I31&gt;=60,"B+",IF(I31&gt;=50,"B",IF(I31&gt;=40,"C+",IF(I31&gt;=30,"C",IF(I31&lt;=30,"Fail"))))))))</f>
        <v>B+</v>
      </c>
      <c r="K31" s="2" t="str">
        <f>IF(I31&gt;50,"PASS","FAIL")</f>
        <v>PASS</v>
      </c>
      <c r="L31" s="2">
        <f>RANK(I31,$I$3:$I$32)</f>
        <v>11</v>
      </c>
    </row>
    <row r="32" spans="1:12">
      <c r="A32" s="1">
        <v>130</v>
      </c>
      <c r="B32" s="6" t="s">
        <v>43</v>
      </c>
      <c r="C32" s="2">
        <v>99</v>
      </c>
      <c r="D32" s="2">
        <v>52</v>
      </c>
      <c r="E32" s="2">
        <v>97</v>
      </c>
      <c r="F32" s="2">
        <v>40</v>
      </c>
      <c r="G32" s="2">
        <v>38</v>
      </c>
      <c r="H32" s="2">
        <f>SUM(C32:G32)</f>
        <v>326</v>
      </c>
      <c r="I32" s="2">
        <f>AVERAGE(C32:G32)</f>
        <v>65.2</v>
      </c>
      <c r="J32" s="2" t="str">
        <f>IF(I32&gt;=90,"AA",IF(I32&gt;=80,"A+",IF(I32&gt;=70,"A",IF(I32&gt;=60,"B+",IF(I32&gt;=50,"B",IF(I32&gt;=40,"C+",IF(I32&gt;=30,"C",IF(I32&lt;=30,"Fail"))))))))</f>
        <v>B+</v>
      </c>
      <c r="K32" s="2" t="str">
        <f>IF(I32&gt;50,"PASS","FAIL")</f>
        <v>PASS</v>
      </c>
      <c r="L32" s="2">
        <f>RANK(I32,$I$3:$I$32)</f>
        <v>12</v>
      </c>
    </row>
    <row r="34" spans="2:3">
      <c r="B34" s="6" t="s">
        <v>69</v>
      </c>
      <c r="C34" s="2" t="s">
        <v>70</v>
      </c>
    </row>
    <row r="35" spans="2:3">
      <c r="B35" s="6" t="s">
        <v>65</v>
      </c>
      <c r="C35" s="20">
        <f>AVERAGE(C2:C32)</f>
        <v>63.166666666666664</v>
      </c>
    </row>
    <row r="36" spans="2:3">
      <c r="B36" s="6" t="s">
        <v>66</v>
      </c>
      <c r="C36" s="20">
        <f>AVERAGE(D2:D32)</f>
        <v>63.866666666666667</v>
      </c>
    </row>
    <row r="37" spans="2:3">
      <c r="B37" s="6" t="s">
        <v>67</v>
      </c>
      <c r="C37" s="20">
        <f>AVERAGE(E2:E32)</f>
        <v>65.666666666666671</v>
      </c>
    </row>
    <row r="38" spans="2:3">
      <c r="B38" s="6" t="s">
        <v>68</v>
      </c>
      <c r="C38" s="20">
        <f>AVERAGE(F2:F32)</f>
        <v>58.133333333333333</v>
      </c>
    </row>
    <row r="39" spans="2:3">
      <c r="B39" s="6" t="s">
        <v>48</v>
      </c>
      <c r="C39" s="20">
        <f>AVERAGE(G2:G32)</f>
        <v>67.933333333333337</v>
      </c>
    </row>
  </sheetData>
  <sortState xmlns:xlrd2="http://schemas.microsoft.com/office/spreadsheetml/2017/richdata2" ref="A3:L32">
    <sortCondition ref="A2:A32"/>
  </sortState>
  <dataValidations count="1">
    <dataValidation type="whole" allowBlank="1" showInputMessage="1" showErrorMessage="1" sqref="C3:G32" xr:uid="{01F6830D-2E02-4436-B4A7-81C645AD95B6}">
      <formula1>0</formula1>
      <formula2>100</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E1561-550B-4FDB-A406-CBD1312DDB5B}">
  <dimension ref="A2:L93"/>
  <sheetViews>
    <sheetView topLeftCell="B62" zoomScaleNormal="50" workbookViewId="0">
      <selection activeCell="Q66" sqref="Q66"/>
    </sheetView>
  </sheetViews>
  <sheetFormatPr defaultRowHeight="14.4"/>
  <cols>
    <col min="1" max="1" width="15.44140625" bestFit="1" customWidth="1"/>
    <col min="2" max="2" width="19.21875" bestFit="1" customWidth="1"/>
    <col min="3" max="3" width="23.88671875" bestFit="1" customWidth="1"/>
    <col min="4" max="4" width="12.109375" bestFit="1" customWidth="1"/>
    <col min="5" max="5" width="12.44140625" bestFit="1" customWidth="1"/>
    <col min="6" max="6" width="10.44140625" bestFit="1" customWidth="1"/>
    <col min="7" max="7" width="12.109375" bestFit="1" customWidth="1"/>
    <col min="8" max="8" width="20" bestFit="1" customWidth="1"/>
    <col min="9" max="9" width="12.109375" customWidth="1"/>
    <col min="10" max="10" width="12.88671875" bestFit="1" customWidth="1"/>
    <col min="11" max="11" width="14" bestFit="1" customWidth="1"/>
    <col min="12" max="12" width="12" bestFit="1" customWidth="1"/>
    <col min="13" max="14" width="6.44140625" bestFit="1" customWidth="1"/>
    <col min="15" max="15" width="7.44140625" bestFit="1" customWidth="1"/>
    <col min="16" max="16" width="5.44140625" bestFit="1" customWidth="1"/>
    <col min="17" max="17" width="5.6640625" bestFit="1" customWidth="1"/>
    <col min="18" max="18" width="6" bestFit="1" customWidth="1"/>
    <col min="19" max="19" width="6.6640625" bestFit="1" customWidth="1"/>
    <col min="20" max="20" width="5.77734375" bestFit="1" customWidth="1"/>
    <col min="21" max="21" width="4.6640625" bestFit="1" customWidth="1"/>
    <col min="22" max="22" width="6" bestFit="1" customWidth="1"/>
    <col min="23" max="23" width="5.21875" bestFit="1" customWidth="1"/>
    <col min="24" max="24" width="7.21875" bestFit="1" customWidth="1"/>
    <col min="25" max="25" width="6.5546875" bestFit="1" customWidth="1"/>
    <col min="26" max="26" width="11.44140625" bestFit="1" customWidth="1"/>
    <col min="27" max="27" width="5.44140625" bestFit="1" customWidth="1"/>
    <col min="28" max="28" width="4.21875" bestFit="1" customWidth="1"/>
    <col min="29" max="29" width="6.109375" bestFit="1" customWidth="1"/>
    <col min="30" max="30" width="5.21875" bestFit="1" customWidth="1"/>
    <col min="31" max="32" width="5.77734375" bestFit="1" customWidth="1"/>
    <col min="33" max="33" width="6.44140625" bestFit="1" customWidth="1"/>
    <col min="34" max="34" width="8.109375" bestFit="1" customWidth="1"/>
    <col min="35" max="35" width="6.5546875" bestFit="1" customWidth="1"/>
    <col min="36" max="36" width="3.44140625" bestFit="1" customWidth="1"/>
    <col min="37" max="37" width="8.21875" bestFit="1" customWidth="1"/>
    <col min="38" max="38" width="6.88671875" bestFit="1" customWidth="1"/>
    <col min="39" max="39" width="6.77734375" bestFit="1" customWidth="1"/>
    <col min="40" max="40" width="4.6640625" bestFit="1" customWidth="1"/>
    <col min="41" max="41" width="10.77734375" bestFit="1" customWidth="1"/>
  </cols>
  <sheetData>
    <row r="2" spans="1:2">
      <c r="A2" s="15" t="s">
        <v>54</v>
      </c>
      <c r="B2" t="s">
        <v>56</v>
      </c>
    </row>
    <row r="3" spans="1:2">
      <c r="A3" s="16" t="s">
        <v>24</v>
      </c>
      <c r="B3">
        <v>70.400000000000006</v>
      </c>
    </row>
    <row r="4" spans="1:2">
      <c r="A4" s="16" t="s">
        <v>17</v>
      </c>
      <c r="B4">
        <v>69.599999999999994</v>
      </c>
    </row>
    <row r="5" spans="1:2">
      <c r="A5" s="16" t="s">
        <v>29</v>
      </c>
      <c r="B5">
        <v>63.2</v>
      </c>
    </row>
    <row r="6" spans="1:2">
      <c r="A6" s="16" t="s">
        <v>38</v>
      </c>
      <c r="B6">
        <v>71.599999999999994</v>
      </c>
    </row>
    <row r="7" spans="1:2">
      <c r="A7" s="16" t="s">
        <v>18</v>
      </c>
      <c r="B7">
        <v>51.8</v>
      </c>
    </row>
    <row r="8" spans="1:2">
      <c r="A8" s="16" t="s">
        <v>6</v>
      </c>
      <c r="B8">
        <v>55.6</v>
      </c>
    </row>
    <row r="9" spans="1:2">
      <c r="A9" s="16" t="s">
        <v>21</v>
      </c>
      <c r="B9">
        <v>60</v>
      </c>
    </row>
    <row r="10" spans="1:2">
      <c r="A10" s="16" t="s">
        <v>39</v>
      </c>
      <c r="B10">
        <v>54.6</v>
      </c>
    </row>
    <row r="11" spans="1:2">
      <c r="A11" s="16" t="s">
        <v>33</v>
      </c>
      <c r="B11">
        <v>87.4</v>
      </c>
    </row>
    <row r="12" spans="1:2">
      <c r="A12" s="16" t="s">
        <v>35</v>
      </c>
      <c r="B12">
        <v>51.6</v>
      </c>
    </row>
    <row r="13" spans="1:2">
      <c r="A13" s="16" t="s">
        <v>20</v>
      </c>
      <c r="B13">
        <v>74.8</v>
      </c>
    </row>
    <row r="14" spans="1:2">
      <c r="A14" s="16" t="s">
        <v>26</v>
      </c>
      <c r="B14">
        <v>63.8</v>
      </c>
    </row>
    <row r="15" spans="1:2">
      <c r="A15" s="16" t="s">
        <v>30</v>
      </c>
      <c r="B15">
        <v>71</v>
      </c>
    </row>
    <row r="16" spans="1:2">
      <c r="A16" s="16" t="s">
        <v>25</v>
      </c>
      <c r="B16">
        <v>69.599999999999994</v>
      </c>
    </row>
    <row r="17" spans="1:2">
      <c r="A17" s="16" t="s">
        <v>40</v>
      </c>
      <c r="B17">
        <v>64</v>
      </c>
    </row>
    <row r="18" spans="1:2">
      <c r="A18" s="16" t="s">
        <v>27</v>
      </c>
      <c r="B18">
        <v>52.6</v>
      </c>
    </row>
    <row r="19" spans="1:2">
      <c r="A19" s="16" t="s">
        <v>9</v>
      </c>
      <c r="B19">
        <v>86.8</v>
      </c>
    </row>
    <row r="20" spans="1:2">
      <c r="A20" s="16" t="s">
        <v>32</v>
      </c>
      <c r="B20">
        <v>54</v>
      </c>
    </row>
    <row r="21" spans="1:2">
      <c r="A21" s="16" t="s">
        <v>36</v>
      </c>
      <c r="B21">
        <v>64.2</v>
      </c>
    </row>
    <row r="22" spans="1:2">
      <c r="A22" s="16" t="s">
        <v>7</v>
      </c>
      <c r="B22">
        <v>60</v>
      </c>
    </row>
    <row r="23" spans="1:2">
      <c r="A23" s="16" t="s">
        <v>43</v>
      </c>
      <c r="B23">
        <v>65.2</v>
      </c>
    </row>
    <row r="24" spans="1:2">
      <c r="A24" s="16" t="s">
        <v>4</v>
      </c>
      <c r="B24">
        <v>58.2</v>
      </c>
    </row>
    <row r="25" spans="1:2">
      <c r="A25" s="16" t="s">
        <v>41</v>
      </c>
      <c r="B25">
        <v>65.599999999999994</v>
      </c>
    </row>
    <row r="26" spans="1:2">
      <c r="A26" s="16" t="s">
        <v>23</v>
      </c>
      <c r="B26">
        <v>58</v>
      </c>
    </row>
    <row r="27" spans="1:2">
      <c r="A27" s="16" t="s">
        <v>22</v>
      </c>
      <c r="B27">
        <v>67</v>
      </c>
    </row>
    <row r="28" spans="1:2">
      <c r="A28" s="16" t="s">
        <v>37</v>
      </c>
      <c r="B28">
        <v>47.4</v>
      </c>
    </row>
    <row r="29" spans="1:2">
      <c r="A29" s="16" t="s">
        <v>34</v>
      </c>
      <c r="B29">
        <v>77.599999999999994</v>
      </c>
    </row>
    <row r="30" spans="1:2">
      <c r="A30" s="16" t="s">
        <v>19</v>
      </c>
      <c r="B30">
        <v>61.8</v>
      </c>
    </row>
    <row r="31" spans="1:2">
      <c r="A31" s="16" t="s">
        <v>31</v>
      </c>
      <c r="B31">
        <v>55.6</v>
      </c>
    </row>
    <row r="32" spans="1:2">
      <c r="A32" s="16" t="s">
        <v>28</v>
      </c>
      <c r="B32">
        <v>59.6</v>
      </c>
    </row>
    <row r="33" spans="1:11">
      <c r="A33" s="16" t="s">
        <v>55</v>
      </c>
      <c r="B33">
        <v>63.753333333333323</v>
      </c>
      <c r="J33" s="15" t="s">
        <v>54</v>
      </c>
      <c r="K33" t="s">
        <v>60</v>
      </c>
    </row>
    <row r="34" spans="1:11">
      <c r="J34" s="16" t="s">
        <v>5</v>
      </c>
      <c r="K34">
        <v>5</v>
      </c>
    </row>
    <row r="35" spans="1:11">
      <c r="A35" s="15" t="s">
        <v>54</v>
      </c>
      <c r="B35" t="s">
        <v>58</v>
      </c>
      <c r="J35" s="16" t="s">
        <v>61</v>
      </c>
      <c r="K35">
        <v>2</v>
      </c>
    </row>
    <row r="36" spans="1:11">
      <c r="A36" s="16" t="s">
        <v>57</v>
      </c>
      <c r="B36" s="19">
        <v>0.96666666666666667</v>
      </c>
      <c r="J36" s="16" t="s">
        <v>8</v>
      </c>
      <c r="K36">
        <v>10</v>
      </c>
    </row>
    <row r="37" spans="1:11">
      <c r="A37" s="16" t="s">
        <v>59</v>
      </c>
      <c r="B37" s="19">
        <v>3.3333333333333333E-2</v>
      </c>
      <c r="J37" s="16" t="s">
        <v>62</v>
      </c>
      <c r="K37">
        <v>12</v>
      </c>
    </row>
    <row r="38" spans="1:11">
      <c r="A38" s="16" t="s">
        <v>55</v>
      </c>
      <c r="B38" s="19">
        <v>1</v>
      </c>
      <c r="J38" s="16" t="s">
        <v>63</v>
      </c>
      <c r="K38">
        <v>1</v>
      </c>
    </row>
    <row r="39" spans="1:11">
      <c r="J39" s="16" t="s">
        <v>55</v>
      </c>
      <c r="K39">
        <v>30</v>
      </c>
    </row>
    <row r="47" spans="1:11">
      <c r="A47" s="15" t="s">
        <v>75</v>
      </c>
      <c r="B47" t="s">
        <v>73</v>
      </c>
      <c r="C47" t="s">
        <v>85</v>
      </c>
    </row>
    <row r="48" spans="1:11">
      <c r="A48" s="16">
        <v>1</v>
      </c>
      <c r="B48">
        <v>1</v>
      </c>
      <c r="C48">
        <v>87.4</v>
      </c>
    </row>
    <row r="49" spans="1:8">
      <c r="A49" s="17" t="s">
        <v>33</v>
      </c>
      <c r="B49">
        <v>1</v>
      </c>
      <c r="C49">
        <v>87.4</v>
      </c>
    </row>
    <row r="50" spans="1:8">
      <c r="A50" s="28" t="s">
        <v>61</v>
      </c>
      <c r="B50">
        <v>1</v>
      </c>
      <c r="C50">
        <v>87.4</v>
      </c>
      <c r="H50" s="21"/>
    </row>
    <row r="51" spans="1:8">
      <c r="A51" s="16">
        <v>2</v>
      </c>
      <c r="B51">
        <v>1</v>
      </c>
      <c r="C51">
        <v>86.8</v>
      </c>
      <c r="H51" s="21"/>
    </row>
    <row r="52" spans="1:8">
      <c r="A52" s="17" t="s">
        <v>9</v>
      </c>
      <c r="B52">
        <v>1</v>
      </c>
      <c r="C52">
        <v>86.8</v>
      </c>
      <c r="H52" s="21"/>
    </row>
    <row r="53" spans="1:8">
      <c r="A53" s="28" t="s">
        <v>61</v>
      </c>
      <c r="B53">
        <v>1</v>
      </c>
      <c r="C53">
        <v>86.8</v>
      </c>
      <c r="H53" s="21"/>
    </row>
    <row r="54" spans="1:8">
      <c r="A54" s="16">
        <v>3</v>
      </c>
      <c r="B54">
        <v>1</v>
      </c>
      <c r="C54">
        <v>77.599999999999994</v>
      </c>
      <c r="H54" s="21"/>
    </row>
    <row r="55" spans="1:8">
      <c r="A55" s="17" t="s">
        <v>34</v>
      </c>
      <c r="B55">
        <v>1</v>
      </c>
      <c r="C55">
        <v>77.599999999999994</v>
      </c>
    </row>
    <row r="56" spans="1:8">
      <c r="A56" s="28" t="s">
        <v>5</v>
      </c>
      <c r="B56">
        <v>1</v>
      </c>
      <c r="C56">
        <v>77.599999999999994</v>
      </c>
    </row>
    <row r="57" spans="1:8">
      <c r="A57" s="16">
        <v>4</v>
      </c>
      <c r="B57">
        <v>1</v>
      </c>
      <c r="C57">
        <v>74.8</v>
      </c>
    </row>
    <row r="58" spans="1:8">
      <c r="A58" s="17" t="s">
        <v>20</v>
      </c>
      <c r="B58">
        <v>1</v>
      </c>
      <c r="C58">
        <v>74.8</v>
      </c>
      <c r="F58" s="15" t="s">
        <v>54</v>
      </c>
      <c r="G58" t="s">
        <v>71</v>
      </c>
    </row>
    <row r="59" spans="1:8">
      <c r="A59" s="28" t="s">
        <v>5</v>
      </c>
      <c r="B59">
        <v>1</v>
      </c>
      <c r="C59">
        <v>74.8</v>
      </c>
      <c r="F59" s="16" t="s">
        <v>68</v>
      </c>
      <c r="G59" s="18">
        <v>0.18236954930461152</v>
      </c>
    </row>
    <row r="60" spans="1:8">
      <c r="A60" s="16">
        <v>5</v>
      </c>
      <c r="B60">
        <v>1</v>
      </c>
      <c r="C60">
        <v>71.599999999999994</v>
      </c>
      <c r="F60" s="16" t="s">
        <v>66</v>
      </c>
      <c r="G60" s="18">
        <v>0.20035553696538744</v>
      </c>
    </row>
    <row r="61" spans="1:8">
      <c r="A61" s="17" t="s">
        <v>38</v>
      </c>
      <c r="B61">
        <v>1</v>
      </c>
      <c r="C61">
        <v>71.599999999999994</v>
      </c>
      <c r="F61" s="16" t="s">
        <v>65</v>
      </c>
      <c r="G61" s="18">
        <v>0.19815957335564155</v>
      </c>
    </row>
    <row r="62" spans="1:8">
      <c r="A62" s="28" t="s">
        <v>5</v>
      </c>
      <c r="B62">
        <v>1</v>
      </c>
      <c r="C62">
        <v>71.599999999999994</v>
      </c>
      <c r="F62" s="16" t="s">
        <v>67</v>
      </c>
      <c r="G62" s="18">
        <v>0.20600230053330548</v>
      </c>
    </row>
    <row r="63" spans="1:8">
      <c r="A63" s="16" t="s">
        <v>55</v>
      </c>
      <c r="B63">
        <v>5</v>
      </c>
      <c r="C63">
        <v>398.19999999999993</v>
      </c>
      <c r="F63" s="16" t="s">
        <v>48</v>
      </c>
      <c r="G63" s="18">
        <v>0.21311303984105409</v>
      </c>
    </row>
    <row r="64" spans="1:8">
      <c r="F64" s="16" t="s">
        <v>55</v>
      </c>
      <c r="G64" s="18">
        <v>1</v>
      </c>
    </row>
    <row r="68" spans="4:12">
      <c r="F68" s="29" t="s">
        <v>86</v>
      </c>
      <c r="G68" s="29"/>
      <c r="H68" s="29"/>
      <c r="I68" s="29"/>
    </row>
    <row r="69" spans="4:12" ht="28.8">
      <c r="D69" s="27" t="s">
        <v>54</v>
      </c>
      <c r="E69" s="1" t="s">
        <v>64</v>
      </c>
      <c r="F69" s="1" t="s">
        <v>74</v>
      </c>
      <c r="G69" s="1" t="s">
        <v>76</v>
      </c>
      <c r="H69" s="1" t="s">
        <v>77</v>
      </c>
      <c r="I69" s="1" t="s">
        <v>78</v>
      </c>
      <c r="J69" s="1" t="s">
        <v>79</v>
      </c>
      <c r="K69" s="1" t="s">
        <v>56</v>
      </c>
      <c r="L69" s="1" t="s">
        <v>72</v>
      </c>
    </row>
    <row r="70" spans="4:12">
      <c r="D70" s="2" t="s">
        <v>33</v>
      </c>
      <c r="E70" s="2">
        <v>86</v>
      </c>
      <c r="F70" s="2">
        <v>58</v>
      </c>
      <c r="G70" s="2">
        <v>97</v>
      </c>
      <c r="H70" s="2">
        <v>99</v>
      </c>
      <c r="I70" s="2">
        <v>97</v>
      </c>
      <c r="J70" s="2">
        <v>437</v>
      </c>
      <c r="K70" s="2">
        <v>87.4</v>
      </c>
      <c r="L70" s="2">
        <v>1</v>
      </c>
    </row>
    <row r="71" spans="4:12">
      <c r="D71" s="2" t="s">
        <v>9</v>
      </c>
      <c r="E71" s="2">
        <v>92</v>
      </c>
      <c r="F71" s="2">
        <v>89</v>
      </c>
      <c r="G71" s="2">
        <v>84</v>
      </c>
      <c r="H71" s="2">
        <v>85</v>
      </c>
      <c r="I71" s="2">
        <v>84</v>
      </c>
      <c r="J71" s="2">
        <v>434</v>
      </c>
      <c r="K71" s="2">
        <v>86.8</v>
      </c>
      <c r="L71" s="2">
        <v>2</v>
      </c>
    </row>
    <row r="72" spans="4:12">
      <c r="D72" s="2" t="s">
        <v>34</v>
      </c>
      <c r="E72" s="2">
        <v>88</v>
      </c>
      <c r="F72" s="2">
        <v>90</v>
      </c>
      <c r="G72" s="2">
        <v>44</v>
      </c>
      <c r="H72" s="2">
        <v>99</v>
      </c>
      <c r="I72" s="2">
        <v>67</v>
      </c>
      <c r="J72" s="2">
        <v>388</v>
      </c>
      <c r="K72" s="2">
        <v>77.599999999999994</v>
      </c>
      <c r="L72" s="2">
        <v>3</v>
      </c>
    </row>
    <row r="73" spans="4:12">
      <c r="D73" s="2" t="s">
        <v>20</v>
      </c>
      <c r="E73" s="2">
        <v>88</v>
      </c>
      <c r="F73" s="2">
        <v>56</v>
      </c>
      <c r="G73" s="2">
        <v>75</v>
      </c>
      <c r="H73" s="2">
        <v>82</v>
      </c>
      <c r="I73" s="2">
        <v>73</v>
      </c>
      <c r="J73" s="2">
        <v>374</v>
      </c>
      <c r="K73" s="2">
        <v>74.8</v>
      </c>
      <c r="L73" s="2">
        <v>4</v>
      </c>
    </row>
    <row r="74" spans="4:12">
      <c r="D74" s="2" t="s">
        <v>38</v>
      </c>
      <c r="E74" s="2">
        <v>87</v>
      </c>
      <c r="F74" s="2">
        <v>85</v>
      </c>
      <c r="G74" s="2">
        <v>79</v>
      </c>
      <c r="H74" s="2">
        <v>62</v>
      </c>
      <c r="I74" s="2">
        <v>45</v>
      </c>
      <c r="J74" s="2">
        <v>358</v>
      </c>
      <c r="K74" s="2">
        <v>71.599999999999994</v>
      </c>
      <c r="L74" s="2">
        <v>5</v>
      </c>
    </row>
    <row r="75" spans="4:12">
      <c r="D75" s="2" t="s">
        <v>55</v>
      </c>
      <c r="E75" s="2">
        <v>441</v>
      </c>
      <c r="F75" s="2">
        <v>378</v>
      </c>
      <c r="G75" s="2">
        <v>379</v>
      </c>
      <c r="H75" s="2">
        <v>427</v>
      </c>
      <c r="I75" s="2">
        <v>366</v>
      </c>
      <c r="J75" s="2">
        <v>1991</v>
      </c>
      <c r="K75" s="2">
        <v>79.640000000000015</v>
      </c>
      <c r="L75" s="2">
        <v>15</v>
      </c>
    </row>
    <row r="82" spans="1:2">
      <c r="A82" t="s">
        <v>80</v>
      </c>
    </row>
    <row r="83" spans="1:2" ht="15.6">
      <c r="A83" s="23" t="s">
        <v>81</v>
      </c>
      <c r="B83" s="24">
        <f>COUNTA(Result!A3:A32)</f>
        <v>30</v>
      </c>
    </row>
    <row r="84" spans="1:2" ht="15.6">
      <c r="A84" s="23" t="s">
        <v>82</v>
      </c>
      <c r="B84" s="25">
        <f>AVERAGE(Result!I3:I32)</f>
        <v>63.753333333333323</v>
      </c>
    </row>
    <row r="85" spans="1:2" ht="15.6">
      <c r="A85" s="23" t="s">
        <v>83</v>
      </c>
      <c r="B85" s="24">
        <f>COUNTIF(Result!K3:K32,"pass")</f>
        <v>29</v>
      </c>
    </row>
    <row r="86" spans="1:2" ht="15.6">
      <c r="A86" s="23" t="s">
        <v>84</v>
      </c>
      <c r="B86" s="24">
        <f>MAX(Result!I3:I32)</f>
        <v>87.4</v>
      </c>
    </row>
    <row r="88" spans="1:2">
      <c r="A88" s="15" t="s">
        <v>54</v>
      </c>
    </row>
    <row r="89" spans="1:2">
      <c r="A89" s="16">
        <v>10</v>
      </c>
    </row>
    <row r="90" spans="1:2">
      <c r="A90" s="17" t="s">
        <v>5</v>
      </c>
    </row>
    <row r="91" spans="1:2">
      <c r="A91" s="17" t="s">
        <v>8</v>
      </c>
    </row>
    <row r="92" spans="1:2">
      <c r="A92" s="17" t="s">
        <v>42</v>
      </c>
    </row>
    <row r="93" spans="1:2">
      <c r="A93" s="16" t="s">
        <v>55</v>
      </c>
    </row>
  </sheetData>
  <mergeCells count="1">
    <mergeCell ref="F68:I68"/>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97C6A-721E-4962-8BEC-D269DEE52F5E}">
  <dimension ref="C32:K49"/>
  <sheetViews>
    <sheetView showGridLines="0" tabSelected="1" view="pageBreakPreview" zoomScale="49" zoomScaleNormal="54" workbookViewId="0">
      <selection activeCell="AL22" sqref="AL22"/>
    </sheetView>
  </sheetViews>
  <sheetFormatPr defaultRowHeight="14.4"/>
  <cols>
    <col min="1" max="1" width="8.88671875" style="22" customWidth="1"/>
    <col min="2" max="23" width="8.88671875" style="22"/>
    <col min="24" max="24" width="3.33203125" style="22" customWidth="1"/>
    <col min="25" max="16384" width="8.88671875" style="22"/>
  </cols>
  <sheetData>
    <row r="32" spans="3:11" ht="15.6">
      <c r="C32" s="26"/>
      <c r="D32" s="26"/>
      <c r="E32" s="26"/>
      <c r="F32" s="26"/>
      <c r="G32" s="26"/>
      <c r="H32" s="26"/>
      <c r="I32" s="26"/>
      <c r="J32" s="26"/>
      <c r="K32" s="26"/>
    </row>
    <row r="49" ht="22.8" customHeight="1"/>
  </sheetData>
  <pageMargins left="0.7" right="0.7" top="0.75" bottom="0.75" header="0.3" footer="0.3"/>
  <pageSetup paperSize="9" scale="42"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Student_data</vt:lpstr>
      <vt:lpstr>Marks</vt:lpstr>
      <vt:lpstr>Result</vt:lpstr>
      <vt:lpstr>pivot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RABINDRA NATH MAHATO</dc:creator>
  <cp:lastModifiedBy>RABINDRA NATH MAHATO</cp:lastModifiedBy>
  <cp:lastPrinted>2026-05-08T17:30:53Z</cp:lastPrinted>
  <dcterms:created xsi:type="dcterms:W3CDTF">2026-04-30T14:06:51Z</dcterms:created>
  <dcterms:modified xsi:type="dcterms:W3CDTF">2026-05-15T11:39:25Z</dcterms:modified>
</cp:coreProperties>
</file>